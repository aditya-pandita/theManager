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eatures" sheetId="2" state="visible" r:id="rId4"/>
    <sheet name="Ep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<sst xmlns="http://schemas.openxmlformats.org/spreadsheetml/2006/main" count="585" uniqueCount="269">
  <si>
    <t xml:space="preserve">Decidr Code — Feature Tracker</t>
  </si>
  <si>
    <t xml:space="preserve">This workbook lists every feature/user story from the Decidr Code project breakdown plus addendum.</t>
  </si>
  <si>
    <t xml:space="preserve">Sheets:</t>
  </si>
  <si>
    <t xml:space="preserve">  • Features — the master list. 64 stories across 15 epics. Add new rows at the bottom.</t>
  </si>
  <si>
    <t xml:space="preserve">  • Epics — auto-summarized counts and points per epic (formulas auto-update as you edit Features).</t>
  </si>
  <si>
    <t xml:space="preserve">How to add a new feature:</t>
  </si>
  <si>
    <t xml:space="preserve">  1. Go to the Features sheet.</t>
  </si>
  <si>
    <t xml:space="preserve">  2. Click any cell inside the table, then go to the next blank row — the table will auto-extend.</t>
  </si>
  <si>
    <t xml:space="preserve">  3. Use ID convention: US-065, US-066, … (or your own scheme like F-001).</t>
  </si>
  <si>
    <t xml:space="preserve">  4. Pick the Epic ID from existing ones, or add a new epic in the Epics sheet first.</t>
  </si>
  <si>
    <t xml:space="preserve">  5. Priority and Status have dropdowns; Category does too. You can edit the allowed values via Data → Data Validation.</t>
  </si>
  <si>
    <t xml:space="preserve">Color rules:</t>
  </si>
  <si>
    <t xml:space="preserve">  • Status = Done → green; In Progress → yellow; Blocked → red.</t>
  </si>
  <si>
    <t xml:space="preserve">  • Priority = Highest → red highlight.</t>
  </si>
  <si>
    <t xml:space="preserve">Source files: PROJECT-BREAKDOWN.md (US-001 to US-046) and FEATURE-ADDENDUM.md (US-047 to US-064).</t>
  </si>
  <si>
    <t xml:space="preserve">ID</t>
  </si>
  <si>
    <t xml:space="preserve">Epic ID</t>
  </si>
  <si>
    <t xml:space="preserve">Epic Name</t>
  </si>
  <si>
    <t xml:space="preserve">Sprint</t>
  </si>
  <si>
    <t xml:space="preserve">Story / Feature</t>
  </si>
  <si>
    <t xml:space="preserve">Description</t>
  </si>
  <si>
    <t xml:space="preserve">Story Points</t>
  </si>
  <si>
    <t xml:space="preserve">Priority</t>
  </si>
  <si>
    <t xml:space="preserve">Status</t>
  </si>
  <si>
    <t xml:space="preserve">Category</t>
  </si>
  <si>
    <t xml:space="preserve">Owner</t>
  </si>
  <si>
    <t xml:space="preserve">Notes</t>
  </si>
  <si>
    <t xml:space="preserve">US-001</t>
  </si>
  <si>
    <t xml:space="preserve">EP-01</t>
  </si>
  <si>
    <t xml:space="preserve">Project Foundation</t>
  </si>
  <si>
    <t xml:space="preserve">Monorepo scaffold</t>
  </si>
  <si>
    <t xml:space="preserve">All packages share config and can be developed together.</t>
  </si>
  <si>
    <t xml:space="preserve">Highest</t>
  </si>
  <si>
    <t xml:space="preserve">Not Started</t>
  </si>
  <si>
    <t xml:space="preserve">Infrastructure</t>
  </si>
  <si>
    <t xml:space="preserve">US-002</t>
  </si>
  <si>
    <t xml:space="preserve">Local PostgreSQL instance</t>
  </si>
  <si>
    <t xml:space="preserve">Develop against a real database via Docker.</t>
  </si>
  <si>
    <t xml:space="preserve">US-003</t>
  </si>
  <si>
    <t xml:space="preserve">Git configuration</t>
  </si>
  <si>
    <t xml:space="preserve">Generated files are excluded via proper .gitignore.</t>
  </si>
  <si>
    <t xml:space="preserve">High</t>
  </si>
  <si>
    <t xml:space="preserve">US-004</t>
  </si>
  <si>
    <t xml:space="preserve">Sidecar package scaffold</t>
  </si>
  <si>
    <t xml:space="preserve">Node server can be compiled to a binary later.</t>
  </si>
  <si>
    <t xml:space="preserve">Medium</t>
  </si>
  <si>
    <t xml:space="preserve">US-005</t>
  </si>
  <si>
    <t xml:space="preserve">Hook scripts scaffold</t>
  </si>
  <si>
    <t xml:space="preserve">Event system has scripts to execute.</t>
  </si>
  <si>
    <t xml:space="preserve">US-006</t>
  </si>
  <si>
    <t xml:space="preserve">EP-02</t>
  </si>
  <si>
    <t xml:space="preserve">Core Engine &amp; Database</t>
  </si>
  <si>
    <t xml:space="preserve">TypeScript type definitions</t>
  </si>
  <si>
    <t xml:space="preserve">All packages share a single source of truth for data shapes.</t>
  </si>
  <si>
    <t xml:space="preserve">Backend</t>
  </si>
  <si>
    <t xml:space="preserve">US-007</t>
  </si>
  <si>
    <t xml:space="preserve">PostgreSQL schema with relations</t>
  </si>
  <si>
    <t xml:space="preserve">Tickets, reasoning, comments, changelogs stored efficiently.</t>
  </si>
  <si>
    <t xml:space="preserve">US-008</t>
  </si>
  <si>
    <t xml:space="preserve">Database connection module</t>
  </si>
  <si>
    <t xml:space="preserve">All repositories share a single client.</t>
  </si>
  <si>
    <t xml:space="preserve">US-009</t>
  </si>
  <si>
    <t xml:space="preserve">Repository classes</t>
  </si>
  <si>
    <t xml:space="preserve">Each table has clean CRUD operations.</t>
  </si>
  <si>
    <t xml:space="preserve">US-010</t>
  </si>
  <si>
    <t xml:space="preserve">Service classes</t>
  </si>
  <si>
    <t xml:space="preserve">Business logic is separated from data access.</t>
  </si>
  <si>
    <t xml:space="preserve">US-011</t>
  </si>
  <si>
    <t xml:space="preserve">Hook execution system</t>
  </si>
  <si>
    <t xml:space="preserve">Bash scripts fire on events.</t>
  </si>
  <si>
    <t xml:space="preserve">US-012</t>
  </si>
  <si>
    <t xml:space="preserve">Shared constants</t>
  </si>
  <si>
    <t xml:space="preserve">Columns, priorities, tags, node types defined once.</t>
  </si>
  <si>
    <t xml:space="preserve">US-013</t>
  </si>
  <si>
    <t xml:space="preserve">EP-03</t>
  </si>
  <si>
    <t xml:space="preserve">REST API Server</t>
  </si>
  <si>
    <t xml:space="preserve">REST API for tickets</t>
  </si>
  <si>
    <t xml:space="preserve">React app can read and write tickets.</t>
  </si>
  <si>
    <t xml:space="preserve">US-014</t>
  </si>
  <si>
    <t xml:space="preserve">Reasoning and stats endpoints</t>
  </si>
  <si>
    <t xml:space="preserve">UI can display decision trees and dashboards.</t>
  </si>
  <si>
    <t xml:space="preserve">US-015</t>
  </si>
  <si>
    <t xml:space="preserve">Claude API proxy endpoint</t>
  </si>
  <si>
    <t xml:space="preserve">Frontend can trigger ticket processing without exposing API key.</t>
  </si>
  <si>
    <t xml:space="preserve">US-016</t>
  </si>
  <si>
    <t xml:space="preserve">HTTP utility functions</t>
  </si>
  <si>
    <t xml:space="preserve">Route handlers stay clean.</t>
  </si>
  <si>
    <t xml:space="preserve">US-017</t>
  </si>
  <si>
    <t xml:space="preserve">EP-04</t>
  </si>
  <si>
    <t xml:space="preserve">MCP Server</t>
  </si>
  <si>
    <t xml:space="preserve">MCP tools</t>
  </si>
  <si>
    <t xml:space="preserve">Create and manage tickets from inside Cursor / Claude Code.</t>
  </si>
  <si>
    <t xml:space="preserve">Editor Integration</t>
  </si>
  <si>
    <t xml:space="preserve">US-018</t>
  </si>
  <si>
    <t xml:space="preserve">MCP resources</t>
  </si>
  <si>
    <t xml:space="preserve">Read current board state and ticket details from editor.</t>
  </si>
  <si>
    <t xml:space="preserve">US-019</t>
  </si>
  <si>
    <t xml:space="preserve">MCP prompts</t>
  </si>
  <si>
    <t xml:space="preserve">Analyze tickets and review diffs with pre-built system prompts.</t>
  </si>
  <si>
    <t xml:space="preserve">US-020</t>
  </si>
  <si>
    <t xml:space="preserve">Editor config files</t>
  </si>
  <si>
    <t xml:space="preserve">MCP connects automatically.</t>
  </si>
  <si>
    <t xml:space="preserve">US-021</t>
  </si>
  <si>
    <t xml:space="preserve">EP-05</t>
  </si>
  <si>
    <t xml:space="preserve">File Bridge</t>
  </si>
  <si>
    <t xml:space="preserve">Create tickets via JSON file drop</t>
  </si>
  <si>
    <t xml:space="preserve">Use any editor without needing MCP support.</t>
  </si>
  <si>
    <t xml:space="preserve">US-022</t>
  </si>
  <si>
    <t xml:space="preserve">Board state written to file</t>
  </si>
  <si>
    <t xml:space="preserve">Any tool can read current board.</t>
  </si>
  <si>
    <t xml:space="preserve">US-023</t>
  </si>
  <si>
    <t xml:space="preserve">EP-06</t>
  </si>
  <si>
    <t xml:space="preserve">Frontend — Shell &amp; Board</t>
  </si>
  <si>
    <t xml:space="preserve">React app shell with navigation</t>
  </si>
  <si>
    <t xml:space="preserve">Switch between Board, Hooks, and Stats views.</t>
  </si>
  <si>
    <t xml:space="preserve">Frontend</t>
  </si>
  <si>
    <t xml:space="preserve">US-024</t>
  </si>
  <si>
    <t xml:space="preserve">Layout components</t>
  </si>
  <si>
    <t xml:space="preserve">Consistent header, navigation, toolbar.</t>
  </si>
  <si>
    <t xml:space="preserve">US-025</t>
  </si>
  <si>
    <t xml:space="preserve">Kanban board</t>
  </si>
  <si>
    <t xml:space="preserve">All tickets organized by status column.</t>
  </si>
  <si>
    <t xml:space="preserve">US-026</t>
  </si>
  <si>
    <t xml:space="preserve">Shared UI components</t>
  </si>
  <si>
    <t xml:space="preserve">Badges, tags, avatars are consistent.</t>
  </si>
  <si>
    <t xml:space="preserve">US-027</t>
  </si>
  <si>
    <t xml:space="preserve">EP-07</t>
  </si>
  <si>
    <t xml:space="preserve">Frontend — Ticket Detail &amp; Reasoning</t>
  </si>
  <si>
    <t xml:space="preserve">3-4</t>
  </si>
  <si>
    <t xml:space="preserve">Ticket detail modal</t>
  </si>
  <si>
    <t xml:space="preserve">View all information about a ticket in one place.</t>
  </si>
  <si>
    <t xml:space="preserve">US-028</t>
  </si>
  <si>
    <t xml:space="preserve">Side-by-side diff viewer</t>
  </si>
  <si>
    <t xml:space="preserve">See what code Claude changed.</t>
  </si>
  <si>
    <t xml:space="preserve">US-029</t>
  </si>
  <si>
    <t xml:space="preserve">Trigger Claude processing from UI</t>
  </si>
  <si>
    <t xml:space="preserve">Generate reasoning and diffs.</t>
  </si>
  <si>
    <t xml:space="preserve">US-030</t>
  </si>
  <si>
    <t xml:space="preserve">Interactive decision tree</t>
  </si>
  <si>
    <t xml:space="preserve">Understand WHY Claude made each choice.</t>
  </si>
  <si>
    <t xml:space="preserve">US-031</t>
  </si>
  <si>
    <t xml:space="preserve">Comment thread</t>
  </si>
  <si>
    <t xml:space="preserve">Discuss tickets with Claude.</t>
  </si>
  <si>
    <t xml:space="preserve">US-032</t>
  </si>
  <si>
    <t xml:space="preserve">History timeline</t>
  </si>
  <si>
    <t xml:space="preserve">See every action taken on a ticket.</t>
  </si>
  <si>
    <t xml:space="preserve">US-033</t>
  </si>
  <si>
    <t xml:space="preserve">Media drop zone</t>
  </si>
  <si>
    <t xml:space="preserve">Attach screenshots and GIFs to tickets.</t>
  </si>
  <si>
    <t xml:space="preserve">Low</t>
  </si>
  <si>
    <t xml:space="preserve">US-034</t>
  </si>
  <si>
    <t xml:space="preserve">EP-08</t>
  </si>
  <si>
    <t xml:space="preserve">Frontend — Create &amp; Panels</t>
  </si>
  <si>
    <t xml:space="preserve">Ticket creation modal</t>
  </si>
  <si>
    <t xml:space="preserve">Add new tickets with all details.</t>
  </si>
  <si>
    <t xml:space="preserve">US-035</t>
  </si>
  <si>
    <t xml:space="preserve">Hooks log panel</t>
  </si>
  <si>
    <t xml:space="preserve">See what events have fired.</t>
  </si>
  <si>
    <t xml:space="preserve">US-036</t>
  </si>
  <si>
    <t xml:space="preserve">Stats dashboard</t>
  </si>
  <si>
    <t xml:space="preserve">Project health at a glance.</t>
  </si>
  <si>
    <t xml:space="preserve">US-037</t>
  </si>
  <si>
    <t xml:space="preserve">EP-09</t>
  </si>
  <si>
    <t xml:space="preserve">Tauri Desktop Shell</t>
  </si>
  <si>
    <t xml:space="preserve">Native desktop application (Tauri)</t>
  </si>
  <si>
    <t xml:space="preserve">Run without a browser.</t>
  </si>
  <si>
    <t xml:space="preserve">Distribution</t>
  </si>
  <si>
    <t xml:space="preserve">US-038</t>
  </si>
  <si>
    <t xml:space="preserve">System tray icon</t>
  </si>
  <si>
    <t xml:space="preserve">Minimize to background.</t>
  </si>
  <si>
    <t xml:space="preserve">US-039</t>
  </si>
  <si>
    <t xml:space="preserve">Sidecar build pipeline</t>
  </si>
  <si>
    <t xml:space="preserve">Node server compiles to standalone binary.</t>
  </si>
  <si>
    <t xml:space="preserve">US-040</t>
  </si>
  <si>
    <t xml:space="preserve">EP-10</t>
  </si>
  <si>
    <t xml:space="preserve">VS Code / Cursor Extension</t>
  </si>
  <si>
    <t xml:space="preserve">Editor sidebar panel</t>
  </si>
  <si>
    <t xml:space="preserve">See the board without leaving the editor.</t>
  </si>
  <si>
    <t xml:space="preserve">US-041</t>
  </si>
  <si>
    <t xml:space="preserve">Editor commands</t>
  </si>
  <si>
    <t xml:space="preserve">Create tickets and trigger processing from command palette.</t>
  </si>
  <si>
    <t xml:space="preserve">US-042</t>
  </si>
  <si>
    <t xml:space="preserve">Extension API client utility</t>
  </si>
  <si>
    <t xml:space="preserve">Extension can talk to the REST server.</t>
  </si>
  <si>
    <t xml:space="preserve">US-043</t>
  </si>
  <si>
    <t xml:space="preserve">EP-11</t>
  </si>
  <si>
    <t xml:space="preserve">Interactive Documentation</t>
  </si>
  <si>
    <t xml:space="preserve">Interactive documentation site</t>
  </si>
  <si>
    <t xml:space="preserve">Understand architecture, API, and schemas.</t>
  </si>
  <si>
    <t xml:space="preserve">Documentation</t>
  </si>
  <si>
    <t xml:space="preserve">US-044</t>
  </si>
  <si>
    <t xml:space="preserve">Doc content pages for every feature</t>
  </si>
  <si>
    <t xml:space="preserve">Comprehensive coverage of all features.</t>
  </si>
  <si>
    <t xml:space="preserve">US-045</t>
  </si>
  <si>
    <t xml:space="preserve">EP-12</t>
  </si>
  <si>
    <t xml:space="preserve">Editor Integration &amp; ECC</t>
  </si>
  <si>
    <t xml:space="preserve">everything-claude-code (ECC) integration</t>
  </si>
  <si>
    <t xml:space="preserve">Get 13+ agents, 50+ skills, and hooks.</t>
  </si>
  <si>
    <t xml:space="preserve">US-046</t>
  </si>
  <si>
    <t xml:space="preserve">Optimized agent definitions</t>
  </si>
  <si>
    <t xml:space="preserve">Tickets route to the right specialist.</t>
  </si>
  <si>
    <t xml:space="preserve">US-047</t>
  </si>
  <si>
    <t xml:space="preserve">EP-13</t>
  </si>
  <si>
    <t xml:space="preserve">Git Integration &amp; Branch Strategy</t>
  </si>
  <si>
    <t xml:space="preserve">Auto-link branches by naming convention</t>
  </si>
  <si>
    <t xml:space="preserve">Git history visible on tickets via DC-XXX/* naming.</t>
  </si>
  <si>
    <t xml:space="preserve">Git</t>
  </si>
  <si>
    <t xml:space="preserve">US-048</t>
  </si>
  <si>
    <t xml:space="preserve">Commit history on Git tab</t>
  </si>
  <si>
    <t xml:space="preserve">Track what changed per ticket.</t>
  </si>
  <si>
    <t xml:space="preserve">US-049</t>
  </si>
  <si>
    <t xml:space="preserve">Git hooks reporting commits and merges</t>
  </si>
  <si>
    <t xml:space="preserve">Real-time tracking via post-commit/checkout/merge.</t>
  </si>
  <si>
    <t xml:space="preserve">US-050</t>
  </si>
  <si>
    <t xml:space="preserve">Auto-move tickets on branch/merge events</t>
  </si>
  <si>
    <t xml:space="preserve">Board stays current automatically.</t>
  </si>
  <si>
    <t xml:space="preserve">US-051</t>
  </si>
  <si>
    <t xml:space="preserve">Story-level sub-branches</t>
  </si>
  <si>
    <t xml:space="preserve">DC-XXX/US-YYY/* organizes work within a ticket.</t>
  </si>
  <si>
    <t xml:space="preserve">US-052</t>
  </si>
  <si>
    <t xml:space="preserve">Branch status indicators on cards</t>
  </si>
  <si>
    <t xml:space="preserve">See git state at a glance.</t>
  </si>
  <si>
    <t xml:space="preserve">US-053</t>
  </si>
  <si>
    <t xml:space="preserve">MCP tools for branches and git history</t>
  </si>
  <si>
    <t xml:space="preserve">Editors can manage git workflow.</t>
  </si>
  <si>
    <t xml:space="preserve">US-054</t>
  </si>
  <si>
    <t xml:space="preserve">Git hook installer</t>
  </si>
  <si>
    <t xml:space="preserve">One-command setup for tracking.</t>
  </si>
  <si>
    <t xml:space="preserve">US-055</t>
  </si>
  <si>
    <t xml:space="preserve">Relevance detection for unlinked commits</t>
  </si>
  <si>
    <t xml:space="preserve">5-tier hierarchy so nothing falls through cracks.</t>
  </si>
  <si>
    <t xml:space="preserve">US-056</t>
  </si>
  <si>
    <t xml:space="preserve">EP-14</t>
  </si>
  <si>
    <t xml:space="preserve">Document Generation</t>
  </si>
  <si>
    <t xml:space="preserve">Export entire project as a document</t>
  </si>
  <si>
    <t xml:space="preserve">Complete record of all tickets and work.</t>
  </si>
  <si>
    <t xml:space="preserve">Export</t>
  </si>
  <si>
    <t xml:space="preserve">US-057</t>
  </si>
  <si>
    <t xml:space="preserve">Choose export format (PDF/MD/HTML/DOCX)</t>
  </si>
  <si>
    <t xml:space="preserve">Share in the right format.</t>
  </si>
  <si>
    <t xml:space="preserve">US-058</t>
  </si>
  <si>
    <t xml:space="preserve">Export includes reasoning, diffs, comments, git</t>
  </si>
  <si>
    <t xml:space="preserve">Comprehensive document content.</t>
  </si>
  <si>
    <t xml:space="preserve">US-059</t>
  </si>
  <si>
    <t xml:space="preserve">Export MCP tool</t>
  </si>
  <si>
    <t xml:space="preserve">Generate documents from the editor.</t>
  </si>
  <si>
    <t xml:space="preserve">US-060</t>
  </si>
  <si>
    <t xml:space="preserve">EP-15</t>
  </si>
  <si>
    <t xml:space="preserve">Visual Flow Diagrams</t>
  </si>
  <si>
    <t xml:space="preserve">Architecture flow diagram</t>
  </si>
  <si>
    <t xml:space="preserve">See how packages connect.</t>
  </si>
  <si>
    <t xml:space="preserve">Visualization</t>
  </si>
  <si>
    <t xml:space="preserve">US-061</t>
  </si>
  <si>
    <t xml:space="preserve">Ticket lifecycle visualization</t>
  </si>
  <si>
    <t xml:space="preserve">State machine with hook annotations.</t>
  </si>
  <si>
    <t xml:space="preserve">US-062</t>
  </si>
  <si>
    <t xml:space="preserve">Data flow diagram</t>
  </si>
  <si>
    <t xml:space="preserve">Trace requests from UI to database.</t>
  </si>
  <si>
    <t xml:space="preserve">US-063</t>
  </si>
  <si>
    <t xml:space="preserve">Reasoning pipeline visualization</t>
  </si>
  <si>
    <t xml:space="preserve">See how tickets get processed.</t>
  </si>
  <si>
    <t xml:space="preserve">US-064</t>
  </si>
  <si>
    <t xml:space="preserve">Mini per-ticket flow</t>
  </si>
  <si>
    <t xml:space="preserve">Show each ticket's journey so far.</t>
  </si>
  <si>
    <t xml:space="preserve">Story Count</t>
  </si>
  <si>
    <t xml:space="preserve">Total Points</t>
  </si>
  <si>
    <t xml:space="preserve">Done Count</t>
  </si>
  <si>
    <t xml:space="preserve">% Complete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</si>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</sst>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eaturesTable" displayName="FeaturesTable" ref="A1:L65" headerRowCount="1" totalsRowCount="0" totalsRowShown="0">
  <autoFilter ref="A1:L65"/>
  <tableColumns count="12">
    <tableColumn id="1" name="ID"/>
    <tableColumn id="2" name="Epic ID"/>
    <tableColumn id="3" name="Epic Name"/>
    <tableColumn id="4" name="Sprint"/>
    <tableColumn id="5" name="Story / Feature"/>
    <tableColumn id="6" name="Description"/>
    <tableColumn id="7" name="Story Points"/>
    <tableColumn id="8" name="Priority"/>
    <tableColumn id="9" name="Status"/>
    <tableColumn id="10" name="Category"/>
    <tableColumn id="11" name="Owner"/>
    <tableColumn id="12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1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38"/>
    <col collapsed="false" customWidth="true" hidden="false" outlineLevel="0" max="6" min="6" style="0" width="55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</row>
    <row r="2" customFormat="false" ht="15" hidden="false" customHeight="false" outlineLevel="0" collapsed="false">
      <c r="A2" s="4" t="s">
        <v>27</v>
      </c>
      <c r="B2" s="4" t="s">
        <v>28</v>
      </c>
      <c r="C2" s="4" t="s">
        <v>29</v>
      </c>
      <c r="D2" s="4" t="n">
        <v>1</v>
      </c>
      <c r="E2" s="4" t="s">
        <v>30</v>
      </c>
      <c r="F2" s="4" t="s">
        <v>31</v>
      </c>
      <c r="G2" s="4" t="n">
        <v>3</v>
      </c>
      <c r="H2" s="4" t="s">
        <v>32</v>
      </c>
      <c r="I2" s="4" t="s">
        <v>33</v>
      </c>
      <c r="J2" s="4" t="s">
        <v>34</v>
      </c>
      <c r="K2" s="4"/>
      <c r="L2" s="4"/>
    </row>
    <row r="3" customFormat="false" ht="15" hidden="false" customHeight="false" outlineLevel="0" collapsed="false">
      <c r="A3" s="4" t="s">
        <v>35</v>
      </c>
      <c r="B3" s="4" t="s">
        <v>28</v>
      </c>
      <c r="C3" s="4" t="s">
        <v>29</v>
      </c>
      <c r="D3" s="4" t="n">
        <v>1</v>
      </c>
      <c r="E3" s="4" t="s">
        <v>36</v>
      </c>
      <c r="F3" s="4" t="s">
        <v>37</v>
      </c>
      <c r="G3" s="4" t="n">
        <v>2</v>
      </c>
      <c r="H3" s="4" t="s">
        <v>32</v>
      </c>
      <c r="I3" s="4" t="s">
        <v>33</v>
      </c>
      <c r="J3" s="4" t="s">
        <v>34</v>
      </c>
      <c r="K3" s="4"/>
      <c r="L3" s="4"/>
    </row>
    <row r="4" customFormat="false" ht="15" hidden="false" customHeight="false" outlineLevel="0" collapsed="false">
      <c r="A4" s="4" t="s">
        <v>38</v>
      </c>
      <c r="B4" s="4" t="s">
        <v>28</v>
      </c>
      <c r="C4" s="4" t="s">
        <v>29</v>
      </c>
      <c r="D4" s="4" t="n">
        <v>1</v>
      </c>
      <c r="E4" s="4" t="s">
        <v>39</v>
      </c>
      <c r="F4" s="4" t="s">
        <v>40</v>
      </c>
      <c r="G4" s="4" t="n">
        <v>1</v>
      </c>
      <c r="H4" s="4" t="s">
        <v>41</v>
      </c>
      <c r="I4" s="4" t="s">
        <v>33</v>
      </c>
      <c r="J4" s="4" t="s">
        <v>34</v>
      </c>
      <c r="K4" s="4"/>
      <c r="L4" s="4"/>
    </row>
    <row r="5" customFormat="false" ht="15" hidden="false" customHeight="false" outlineLevel="0" collapsed="false">
      <c r="A5" s="4" t="s">
        <v>42</v>
      </c>
      <c r="B5" s="4" t="s">
        <v>28</v>
      </c>
      <c r="C5" s="4" t="s">
        <v>29</v>
      </c>
      <c r="D5" s="4" t="n">
        <v>1</v>
      </c>
      <c r="E5" s="4" t="s">
        <v>43</v>
      </c>
      <c r="F5" s="4" t="s">
        <v>44</v>
      </c>
      <c r="G5" s="4" t="n">
        <v>2</v>
      </c>
      <c r="H5" s="4" t="s">
        <v>45</v>
      </c>
      <c r="I5" s="4" t="s">
        <v>33</v>
      </c>
      <c r="J5" s="4" t="s">
        <v>34</v>
      </c>
      <c r="K5" s="4"/>
      <c r="L5" s="4"/>
    </row>
    <row r="6" customFormat="false" ht="15" hidden="false" customHeight="false" outlineLevel="0" collapsed="false">
      <c r="A6" s="4" t="s">
        <v>46</v>
      </c>
      <c r="B6" s="4" t="s">
        <v>28</v>
      </c>
      <c r="C6" s="4" t="s">
        <v>29</v>
      </c>
      <c r="D6" s="4" t="n">
        <v>1</v>
      </c>
      <c r="E6" s="4" t="s">
        <v>47</v>
      </c>
      <c r="F6" s="4" t="s">
        <v>48</v>
      </c>
      <c r="G6" s="4" t="n">
        <v>1</v>
      </c>
      <c r="H6" s="4" t="s">
        <v>45</v>
      </c>
      <c r="I6" s="4" t="s">
        <v>33</v>
      </c>
      <c r="J6" s="4" t="s">
        <v>34</v>
      </c>
      <c r="K6" s="4"/>
      <c r="L6" s="4"/>
    </row>
    <row r="7" customFormat="false" ht="15" hidden="false" customHeight="false" outlineLevel="0" collapsed="false">
      <c r="A7" s="4" t="s">
        <v>49</v>
      </c>
      <c r="B7" s="4" t="s">
        <v>50</v>
      </c>
      <c r="C7" s="4" t="s">
        <v>51</v>
      </c>
      <c r="D7" s="4" t="n">
        <v>1</v>
      </c>
      <c r="E7" s="4" t="s">
        <v>52</v>
      </c>
      <c r="F7" s="4" t="s">
        <v>53</v>
      </c>
      <c r="G7" s="4" t="n">
        <v>3</v>
      </c>
      <c r="H7" s="4" t="s">
        <v>32</v>
      </c>
      <c r="I7" s="4" t="s">
        <v>33</v>
      </c>
      <c r="J7" s="4" t="s">
        <v>54</v>
      </c>
      <c r="K7" s="4"/>
      <c r="L7" s="4"/>
    </row>
    <row r="8" customFormat="false" ht="15" hidden="false" customHeight="false" outlineLevel="0" collapsed="false">
      <c r="A8" s="4" t="s">
        <v>55</v>
      </c>
      <c r="B8" s="4" t="s">
        <v>50</v>
      </c>
      <c r="C8" s="4" t="s">
        <v>51</v>
      </c>
      <c r="D8" s="4" t="n">
        <v>1</v>
      </c>
      <c r="E8" s="4" t="s">
        <v>56</v>
      </c>
      <c r="F8" s="4" t="s">
        <v>57</v>
      </c>
      <c r="G8" s="4" t="n">
        <v>5</v>
      </c>
      <c r="H8" s="4" t="s">
        <v>32</v>
      </c>
      <c r="I8" s="4" t="s">
        <v>33</v>
      </c>
      <c r="J8" s="4" t="s">
        <v>54</v>
      </c>
      <c r="K8" s="4"/>
      <c r="L8" s="4"/>
    </row>
    <row r="9" customFormat="false" ht="15" hidden="false" customHeight="false" outlineLevel="0" collapsed="false">
      <c r="A9" s="4" t="s">
        <v>58</v>
      </c>
      <c r="B9" s="4" t="s">
        <v>50</v>
      </c>
      <c r="C9" s="4" t="s">
        <v>51</v>
      </c>
      <c r="D9" s="4" t="n">
        <v>1</v>
      </c>
      <c r="E9" s="4" t="s">
        <v>59</v>
      </c>
      <c r="F9" s="4" t="s">
        <v>60</v>
      </c>
      <c r="G9" s="4" t="n">
        <v>2</v>
      </c>
      <c r="H9" s="4" t="s">
        <v>32</v>
      </c>
      <c r="I9" s="4" t="s">
        <v>33</v>
      </c>
      <c r="J9" s="4" t="s">
        <v>54</v>
      </c>
      <c r="K9" s="4"/>
      <c r="L9" s="4"/>
    </row>
    <row r="10" customFormat="false" ht="15" hidden="false" customHeight="false" outlineLevel="0" collapsed="false">
      <c r="A10" s="4" t="s">
        <v>61</v>
      </c>
      <c r="B10" s="4" t="s">
        <v>50</v>
      </c>
      <c r="C10" s="4" t="s">
        <v>51</v>
      </c>
      <c r="D10" s="4" t="n">
        <v>1</v>
      </c>
      <c r="E10" s="4" t="s">
        <v>62</v>
      </c>
      <c r="F10" s="4" t="s">
        <v>63</v>
      </c>
      <c r="G10" s="4" t="n">
        <v>8</v>
      </c>
      <c r="H10" s="4" t="s">
        <v>32</v>
      </c>
      <c r="I10" s="4" t="s">
        <v>33</v>
      </c>
      <c r="J10" s="4" t="s">
        <v>54</v>
      </c>
      <c r="K10" s="4"/>
      <c r="L10" s="4"/>
    </row>
    <row r="11" customFormat="false" ht="15" hidden="false" customHeight="false" outlineLevel="0" collapsed="false">
      <c r="A11" s="4" t="s">
        <v>64</v>
      </c>
      <c r="B11" s="4" t="s">
        <v>50</v>
      </c>
      <c r="C11" s="4" t="s">
        <v>51</v>
      </c>
      <c r="D11" s="4" t="n">
        <v>1</v>
      </c>
      <c r="E11" s="4" t="s">
        <v>65</v>
      </c>
      <c r="F11" s="4" t="s">
        <v>66</v>
      </c>
      <c r="G11" s="4" t="n">
        <v>5</v>
      </c>
      <c r="H11" s="4" t="s">
        <v>32</v>
      </c>
      <c r="I11" s="4" t="s">
        <v>33</v>
      </c>
      <c r="J11" s="4" t="s">
        <v>54</v>
      </c>
      <c r="K11" s="4"/>
      <c r="L11" s="4"/>
    </row>
    <row r="12" customFormat="false" ht="15" hidden="false" customHeight="false" outlineLevel="0" collapsed="false">
      <c r="A12" s="4" t="s">
        <v>67</v>
      </c>
      <c r="B12" s="4" t="s">
        <v>50</v>
      </c>
      <c r="C12" s="4" t="s">
        <v>51</v>
      </c>
      <c r="D12" s="4" t="n">
        <v>1</v>
      </c>
      <c r="E12" s="4" t="s">
        <v>68</v>
      </c>
      <c r="F12" s="4" t="s">
        <v>69</v>
      </c>
      <c r="G12" s="4" t="n">
        <v>2</v>
      </c>
      <c r="H12" s="4" t="s">
        <v>41</v>
      </c>
      <c r="I12" s="4" t="s">
        <v>33</v>
      </c>
      <c r="J12" s="4" t="s">
        <v>54</v>
      </c>
      <c r="K12" s="4"/>
      <c r="L12" s="4"/>
    </row>
    <row r="13" customFormat="false" ht="15" hidden="false" customHeight="false" outlineLevel="0" collapsed="false">
      <c r="A13" s="4" t="s">
        <v>70</v>
      </c>
      <c r="B13" s="4" t="s">
        <v>50</v>
      </c>
      <c r="C13" s="4" t="s">
        <v>51</v>
      </c>
      <c r="D13" s="4" t="n">
        <v>1</v>
      </c>
      <c r="E13" s="4" t="s">
        <v>71</v>
      </c>
      <c r="F13" s="4" t="s">
        <v>72</v>
      </c>
      <c r="G13" s="4" t="n">
        <v>1</v>
      </c>
      <c r="H13" s="4" t="s">
        <v>41</v>
      </c>
      <c r="I13" s="4" t="s">
        <v>33</v>
      </c>
      <c r="J13" s="4" t="s">
        <v>54</v>
      </c>
      <c r="K13" s="4"/>
      <c r="L13" s="4"/>
    </row>
    <row r="14" customFormat="false" ht="15" hidden="false" customHeight="false" outlineLevel="0" collapsed="false">
      <c r="A14" s="4" t="s">
        <v>73</v>
      </c>
      <c r="B14" s="4" t="s">
        <v>74</v>
      </c>
      <c r="C14" s="4" t="s">
        <v>75</v>
      </c>
      <c r="D14" s="4" t="n">
        <v>2</v>
      </c>
      <c r="E14" s="4" t="s">
        <v>76</v>
      </c>
      <c r="F14" s="4" t="s">
        <v>77</v>
      </c>
      <c r="G14" s="4" t="n">
        <v>5</v>
      </c>
      <c r="H14" s="4" t="s">
        <v>32</v>
      </c>
      <c r="I14" s="4" t="s">
        <v>33</v>
      </c>
      <c r="J14" s="4" t="s">
        <v>54</v>
      </c>
      <c r="K14" s="4"/>
      <c r="L14" s="4"/>
    </row>
    <row r="15" customFormat="false" ht="15" hidden="false" customHeight="false" outlineLevel="0" collapsed="false">
      <c r="A15" s="4" t="s">
        <v>78</v>
      </c>
      <c r="B15" s="4" t="s">
        <v>74</v>
      </c>
      <c r="C15" s="4" t="s">
        <v>75</v>
      </c>
      <c r="D15" s="4" t="n">
        <v>2</v>
      </c>
      <c r="E15" s="4" t="s">
        <v>79</v>
      </c>
      <c r="F15" s="4" t="s">
        <v>80</v>
      </c>
      <c r="G15" s="4" t="n">
        <v>3</v>
      </c>
      <c r="H15" s="4" t="s">
        <v>41</v>
      </c>
      <c r="I15" s="4" t="s">
        <v>33</v>
      </c>
      <c r="J15" s="4" t="s">
        <v>54</v>
      </c>
      <c r="K15" s="4"/>
      <c r="L15" s="4"/>
    </row>
    <row r="16" customFormat="false" ht="15" hidden="false" customHeight="false" outlineLevel="0" collapsed="false">
      <c r="A16" s="4" t="s">
        <v>81</v>
      </c>
      <c r="B16" s="4" t="s">
        <v>74</v>
      </c>
      <c r="C16" s="4" t="s">
        <v>75</v>
      </c>
      <c r="D16" s="4" t="n">
        <v>2</v>
      </c>
      <c r="E16" s="4" t="s">
        <v>82</v>
      </c>
      <c r="F16" s="4" t="s">
        <v>83</v>
      </c>
      <c r="G16" s="4" t="n">
        <v>3</v>
      </c>
      <c r="H16" s="4" t="s">
        <v>41</v>
      </c>
      <c r="I16" s="4" t="s">
        <v>33</v>
      </c>
      <c r="J16" s="4" t="s">
        <v>54</v>
      </c>
      <c r="K16" s="4"/>
      <c r="L16" s="4"/>
    </row>
    <row r="17" customFormat="false" ht="15" hidden="false" customHeight="false" outlineLevel="0" collapsed="false">
      <c r="A17" s="4" t="s">
        <v>84</v>
      </c>
      <c r="B17" s="4" t="s">
        <v>74</v>
      </c>
      <c r="C17" s="4" t="s">
        <v>75</v>
      </c>
      <c r="D17" s="4" t="n">
        <v>2</v>
      </c>
      <c r="E17" s="4" t="s">
        <v>85</v>
      </c>
      <c r="F17" s="4" t="s">
        <v>86</v>
      </c>
      <c r="G17" s="4" t="n">
        <v>2</v>
      </c>
      <c r="H17" s="4" t="s">
        <v>41</v>
      </c>
      <c r="I17" s="4" t="s">
        <v>33</v>
      </c>
      <c r="J17" s="4" t="s">
        <v>54</v>
      </c>
      <c r="K17" s="4"/>
      <c r="L17" s="4"/>
    </row>
    <row r="18" customFormat="false" ht="15" hidden="false" customHeight="false" outlineLevel="0" collapsed="false">
      <c r="A18" s="4" t="s">
        <v>87</v>
      </c>
      <c r="B18" s="4" t="s">
        <v>88</v>
      </c>
      <c r="C18" s="4" t="s">
        <v>89</v>
      </c>
      <c r="D18" s="4" t="n">
        <v>2</v>
      </c>
      <c r="E18" s="4" t="s">
        <v>90</v>
      </c>
      <c r="F18" s="4" t="s">
        <v>91</v>
      </c>
      <c r="G18" s="4" t="n">
        <v>8</v>
      </c>
      <c r="H18" s="4" t="s">
        <v>32</v>
      </c>
      <c r="I18" s="4" t="s">
        <v>33</v>
      </c>
      <c r="J18" s="4" t="s">
        <v>92</v>
      </c>
      <c r="K18" s="4"/>
      <c r="L18" s="4"/>
    </row>
    <row r="19" customFormat="false" ht="15" hidden="false" customHeight="false" outlineLevel="0" collapsed="false">
      <c r="A19" s="4" t="s">
        <v>93</v>
      </c>
      <c r="B19" s="4" t="s">
        <v>88</v>
      </c>
      <c r="C19" s="4" t="s">
        <v>89</v>
      </c>
      <c r="D19" s="4" t="n">
        <v>2</v>
      </c>
      <c r="E19" s="4" t="s">
        <v>94</v>
      </c>
      <c r="F19" s="4" t="s">
        <v>95</v>
      </c>
      <c r="G19" s="4" t="n">
        <v>3</v>
      </c>
      <c r="H19" s="4" t="s">
        <v>41</v>
      </c>
      <c r="I19" s="4" t="s">
        <v>33</v>
      </c>
      <c r="J19" s="4" t="s">
        <v>92</v>
      </c>
      <c r="K19" s="4"/>
      <c r="L19" s="4"/>
    </row>
    <row r="20" customFormat="false" ht="15" hidden="false" customHeight="false" outlineLevel="0" collapsed="false">
      <c r="A20" s="4" t="s">
        <v>96</v>
      </c>
      <c r="B20" s="4" t="s">
        <v>88</v>
      </c>
      <c r="C20" s="4" t="s">
        <v>89</v>
      </c>
      <c r="D20" s="4" t="n">
        <v>2</v>
      </c>
      <c r="E20" s="4" t="s">
        <v>97</v>
      </c>
      <c r="F20" s="4" t="s">
        <v>98</v>
      </c>
      <c r="G20" s="4" t="n">
        <v>2</v>
      </c>
      <c r="H20" s="4" t="s">
        <v>45</v>
      </c>
      <c r="I20" s="4" t="s">
        <v>33</v>
      </c>
      <c r="J20" s="4" t="s">
        <v>92</v>
      </c>
      <c r="K20" s="4"/>
      <c r="L20" s="4"/>
    </row>
    <row r="21" customFormat="false" ht="15" hidden="false" customHeight="false" outlineLevel="0" collapsed="false">
      <c r="A21" s="4" t="s">
        <v>99</v>
      </c>
      <c r="B21" s="4" t="s">
        <v>88</v>
      </c>
      <c r="C21" s="4" t="s">
        <v>89</v>
      </c>
      <c r="D21" s="4" t="n">
        <v>2</v>
      </c>
      <c r="E21" s="4" t="s">
        <v>100</v>
      </c>
      <c r="F21" s="4" t="s">
        <v>101</v>
      </c>
      <c r="G21" s="4" t="n">
        <v>2</v>
      </c>
      <c r="H21" s="4" t="s">
        <v>41</v>
      </c>
      <c r="I21" s="4" t="s">
        <v>33</v>
      </c>
      <c r="J21" s="4" t="s">
        <v>92</v>
      </c>
      <c r="K21" s="4"/>
      <c r="L21" s="4"/>
    </row>
    <row r="22" customFormat="false" ht="15" hidden="false" customHeight="false" outlineLevel="0" collapsed="false">
      <c r="A22" s="4" t="s">
        <v>102</v>
      </c>
      <c r="B22" s="4" t="s">
        <v>103</v>
      </c>
      <c r="C22" s="4" t="s">
        <v>104</v>
      </c>
      <c r="D22" s="4" t="n">
        <v>2</v>
      </c>
      <c r="E22" s="4" t="s">
        <v>105</v>
      </c>
      <c r="F22" s="4" t="s">
        <v>106</v>
      </c>
      <c r="G22" s="4" t="n">
        <v>3</v>
      </c>
      <c r="H22" s="4" t="s">
        <v>45</v>
      </c>
      <c r="I22" s="4" t="s">
        <v>33</v>
      </c>
      <c r="J22" s="4" t="s">
        <v>92</v>
      </c>
      <c r="K22" s="4"/>
      <c r="L22" s="4"/>
    </row>
    <row r="23" customFormat="false" ht="15" hidden="false" customHeight="false" outlineLevel="0" collapsed="false">
      <c r="A23" s="4" t="s">
        <v>107</v>
      </c>
      <c r="B23" s="4" t="s">
        <v>103</v>
      </c>
      <c r="C23" s="4" t="s">
        <v>104</v>
      </c>
      <c r="D23" s="4" t="n">
        <v>2</v>
      </c>
      <c r="E23" s="4" t="s">
        <v>108</v>
      </c>
      <c r="F23" s="4" t="s">
        <v>109</v>
      </c>
      <c r="G23" s="4" t="n">
        <v>2</v>
      </c>
      <c r="H23" s="4" t="s">
        <v>45</v>
      </c>
      <c r="I23" s="4" t="s">
        <v>33</v>
      </c>
      <c r="J23" s="4" t="s">
        <v>92</v>
      </c>
      <c r="K23" s="4"/>
      <c r="L23" s="4"/>
    </row>
    <row r="24" customFormat="false" ht="15" hidden="false" customHeight="false" outlineLevel="0" collapsed="false">
      <c r="A24" s="4" t="s">
        <v>110</v>
      </c>
      <c r="B24" s="4" t="s">
        <v>111</v>
      </c>
      <c r="C24" s="4" t="s">
        <v>112</v>
      </c>
      <c r="D24" s="4" t="n">
        <v>3</v>
      </c>
      <c r="E24" s="4" t="s">
        <v>113</v>
      </c>
      <c r="F24" s="4" t="s">
        <v>114</v>
      </c>
      <c r="G24" s="4" t="n">
        <v>5</v>
      </c>
      <c r="H24" s="4" t="s">
        <v>32</v>
      </c>
      <c r="I24" s="4" t="s">
        <v>33</v>
      </c>
      <c r="J24" s="4" t="s">
        <v>115</v>
      </c>
      <c r="K24" s="4"/>
      <c r="L24" s="4"/>
    </row>
    <row r="25" customFormat="false" ht="15" hidden="false" customHeight="false" outlineLevel="0" collapsed="false">
      <c r="A25" s="4" t="s">
        <v>116</v>
      </c>
      <c r="B25" s="4" t="s">
        <v>111</v>
      </c>
      <c r="C25" s="4" t="s">
        <v>112</v>
      </c>
      <c r="D25" s="4" t="n">
        <v>3</v>
      </c>
      <c r="E25" s="4" t="s">
        <v>117</v>
      </c>
      <c r="F25" s="4" t="s">
        <v>118</v>
      </c>
      <c r="G25" s="4" t="n">
        <v>3</v>
      </c>
      <c r="H25" s="4" t="s">
        <v>32</v>
      </c>
      <c r="I25" s="4" t="s">
        <v>33</v>
      </c>
      <c r="J25" s="4" t="s">
        <v>115</v>
      </c>
      <c r="K25" s="4"/>
      <c r="L25" s="4"/>
    </row>
    <row r="26" customFormat="false" ht="15" hidden="false" customHeight="false" outlineLevel="0" collapsed="false">
      <c r="A26" s="4" t="s">
        <v>119</v>
      </c>
      <c r="B26" s="4" t="s">
        <v>111</v>
      </c>
      <c r="C26" s="4" t="s">
        <v>112</v>
      </c>
      <c r="D26" s="4" t="n">
        <v>3</v>
      </c>
      <c r="E26" s="4" t="s">
        <v>120</v>
      </c>
      <c r="F26" s="4" t="s">
        <v>121</v>
      </c>
      <c r="G26" s="4" t="n">
        <v>5</v>
      </c>
      <c r="H26" s="4" t="s">
        <v>32</v>
      </c>
      <c r="I26" s="4" t="s">
        <v>33</v>
      </c>
      <c r="J26" s="4" t="s">
        <v>115</v>
      </c>
      <c r="K26" s="4"/>
      <c r="L26" s="4"/>
    </row>
    <row r="27" customFormat="false" ht="15" hidden="false" customHeight="false" outlineLevel="0" collapsed="false">
      <c r="A27" s="4" t="s">
        <v>122</v>
      </c>
      <c r="B27" s="4" t="s">
        <v>111</v>
      </c>
      <c r="C27" s="4" t="s">
        <v>112</v>
      </c>
      <c r="D27" s="4" t="n">
        <v>3</v>
      </c>
      <c r="E27" s="4" t="s">
        <v>123</v>
      </c>
      <c r="F27" s="4" t="s">
        <v>124</v>
      </c>
      <c r="G27" s="4" t="n">
        <v>2</v>
      </c>
      <c r="H27" s="4" t="s">
        <v>41</v>
      </c>
      <c r="I27" s="4" t="s">
        <v>33</v>
      </c>
      <c r="J27" s="4" t="s">
        <v>115</v>
      </c>
      <c r="K27" s="4"/>
      <c r="L27" s="4"/>
    </row>
    <row r="28" customFormat="false" ht="15" hidden="false" customHeight="false" outlineLevel="0" collapsed="false">
      <c r="A28" s="4" t="s">
        <v>125</v>
      </c>
      <c r="B28" s="4" t="s">
        <v>126</v>
      </c>
      <c r="C28" s="4" t="s">
        <v>127</v>
      </c>
      <c r="D28" s="4" t="s">
        <v>128</v>
      </c>
      <c r="E28" s="4" t="s">
        <v>129</v>
      </c>
      <c r="F28" s="4" t="s">
        <v>130</v>
      </c>
      <c r="G28" s="4" t="n">
        <v>5</v>
      </c>
      <c r="H28" s="4" t="s">
        <v>32</v>
      </c>
      <c r="I28" s="4" t="s">
        <v>33</v>
      </c>
      <c r="J28" s="4" t="s">
        <v>115</v>
      </c>
      <c r="K28" s="4"/>
      <c r="L28" s="4"/>
    </row>
    <row r="29" customFormat="false" ht="15" hidden="false" customHeight="false" outlineLevel="0" collapsed="false">
      <c r="A29" s="4" t="s">
        <v>131</v>
      </c>
      <c r="B29" s="4" t="s">
        <v>126</v>
      </c>
      <c r="C29" s="4" t="s">
        <v>127</v>
      </c>
      <c r="D29" s="4" t="s">
        <v>128</v>
      </c>
      <c r="E29" s="4" t="s">
        <v>132</v>
      </c>
      <c r="F29" s="4" t="s">
        <v>133</v>
      </c>
      <c r="G29" s="4" t="n">
        <v>3</v>
      </c>
      <c r="H29" s="4" t="s">
        <v>32</v>
      </c>
      <c r="I29" s="4" t="s">
        <v>33</v>
      </c>
      <c r="J29" s="4" t="s">
        <v>115</v>
      </c>
      <c r="K29" s="4"/>
      <c r="L29" s="4"/>
    </row>
    <row r="30" customFormat="false" ht="15" hidden="false" customHeight="false" outlineLevel="0" collapsed="false">
      <c r="A30" s="4" t="s">
        <v>134</v>
      </c>
      <c r="B30" s="4" t="s">
        <v>126</v>
      </c>
      <c r="C30" s="4" t="s">
        <v>127</v>
      </c>
      <c r="D30" s="4" t="s">
        <v>128</v>
      </c>
      <c r="E30" s="4" t="s">
        <v>135</v>
      </c>
      <c r="F30" s="4" t="s">
        <v>136</v>
      </c>
      <c r="G30" s="4" t="n">
        <v>3</v>
      </c>
      <c r="H30" s="4" t="s">
        <v>32</v>
      </c>
      <c r="I30" s="4" t="s">
        <v>33</v>
      </c>
      <c r="J30" s="4" t="s">
        <v>115</v>
      </c>
      <c r="K30" s="4"/>
      <c r="L30" s="4"/>
    </row>
    <row r="31" customFormat="false" ht="15" hidden="false" customHeight="false" outlineLevel="0" collapsed="false">
      <c r="A31" s="4" t="s">
        <v>137</v>
      </c>
      <c r="B31" s="4" t="s">
        <v>126</v>
      </c>
      <c r="C31" s="4" t="s">
        <v>127</v>
      </c>
      <c r="D31" s="4" t="s">
        <v>128</v>
      </c>
      <c r="E31" s="4" t="s">
        <v>138</v>
      </c>
      <c r="F31" s="4" t="s">
        <v>139</v>
      </c>
      <c r="G31" s="4" t="n">
        <v>8</v>
      </c>
      <c r="H31" s="4" t="s">
        <v>32</v>
      </c>
      <c r="I31" s="4" t="s">
        <v>33</v>
      </c>
      <c r="J31" s="4" t="s">
        <v>115</v>
      </c>
      <c r="K31" s="4"/>
      <c r="L31" s="4"/>
    </row>
    <row r="32" customFormat="false" ht="15" hidden="false" customHeight="false" outlineLevel="0" collapsed="false">
      <c r="A32" s="4" t="s">
        <v>140</v>
      </c>
      <c r="B32" s="4" t="s">
        <v>126</v>
      </c>
      <c r="C32" s="4" t="s">
        <v>127</v>
      </c>
      <c r="D32" s="4" t="s">
        <v>128</v>
      </c>
      <c r="E32" s="4" t="s">
        <v>141</v>
      </c>
      <c r="F32" s="4" t="s">
        <v>142</v>
      </c>
      <c r="G32" s="4" t="n">
        <v>3</v>
      </c>
      <c r="H32" s="4" t="s">
        <v>41</v>
      </c>
      <c r="I32" s="4" t="s">
        <v>33</v>
      </c>
      <c r="J32" s="4" t="s">
        <v>115</v>
      </c>
      <c r="K32" s="4"/>
      <c r="L32" s="4"/>
    </row>
    <row r="33" customFormat="false" ht="15" hidden="false" customHeight="false" outlineLevel="0" collapsed="false">
      <c r="A33" s="4" t="s">
        <v>143</v>
      </c>
      <c r="B33" s="4" t="s">
        <v>126</v>
      </c>
      <c r="C33" s="4" t="s">
        <v>127</v>
      </c>
      <c r="D33" s="4" t="s">
        <v>128</v>
      </c>
      <c r="E33" s="4" t="s">
        <v>144</v>
      </c>
      <c r="F33" s="4" t="s">
        <v>145</v>
      </c>
      <c r="G33" s="4" t="n">
        <v>2</v>
      </c>
      <c r="H33" s="4" t="s">
        <v>41</v>
      </c>
      <c r="I33" s="4" t="s">
        <v>33</v>
      </c>
      <c r="J33" s="4" t="s">
        <v>115</v>
      </c>
      <c r="K33" s="4"/>
      <c r="L33" s="4"/>
    </row>
    <row r="34" customFormat="false" ht="15" hidden="false" customHeight="false" outlineLevel="0" collapsed="false">
      <c r="A34" s="4" t="s">
        <v>146</v>
      </c>
      <c r="B34" s="4" t="s">
        <v>126</v>
      </c>
      <c r="C34" s="4" t="s">
        <v>127</v>
      </c>
      <c r="D34" s="4" t="s">
        <v>128</v>
      </c>
      <c r="E34" s="4" t="s">
        <v>147</v>
      </c>
      <c r="F34" s="4" t="s">
        <v>148</v>
      </c>
      <c r="G34" s="4" t="n">
        <v>2</v>
      </c>
      <c r="H34" s="4" t="s">
        <v>149</v>
      </c>
      <c r="I34" s="4" t="s">
        <v>33</v>
      </c>
      <c r="J34" s="4" t="s">
        <v>115</v>
      </c>
      <c r="K34" s="4"/>
      <c r="L34" s="4"/>
    </row>
    <row r="35" customFormat="false" ht="15" hidden="false" customHeight="false" outlineLevel="0" collapsed="false">
      <c r="A35" s="4" t="s">
        <v>150</v>
      </c>
      <c r="B35" s="4" t="s">
        <v>151</v>
      </c>
      <c r="C35" s="4" t="s">
        <v>152</v>
      </c>
      <c r="D35" s="4" t="n">
        <v>4</v>
      </c>
      <c r="E35" s="4" t="s">
        <v>153</v>
      </c>
      <c r="F35" s="4" t="s">
        <v>154</v>
      </c>
      <c r="G35" s="4" t="n">
        <v>5</v>
      </c>
      <c r="H35" s="4" t="s">
        <v>32</v>
      </c>
      <c r="I35" s="4" t="s">
        <v>33</v>
      </c>
      <c r="J35" s="4" t="s">
        <v>115</v>
      </c>
      <c r="K35" s="4"/>
      <c r="L35" s="4"/>
    </row>
    <row r="36" customFormat="false" ht="15" hidden="false" customHeight="false" outlineLevel="0" collapsed="false">
      <c r="A36" s="4" t="s">
        <v>155</v>
      </c>
      <c r="B36" s="4" t="s">
        <v>151</v>
      </c>
      <c r="C36" s="4" t="s">
        <v>152</v>
      </c>
      <c r="D36" s="4" t="n">
        <v>4</v>
      </c>
      <c r="E36" s="4" t="s">
        <v>156</v>
      </c>
      <c r="F36" s="4" t="s">
        <v>157</v>
      </c>
      <c r="G36" s="4" t="n">
        <v>2</v>
      </c>
      <c r="H36" s="4" t="s">
        <v>45</v>
      </c>
      <c r="I36" s="4" t="s">
        <v>33</v>
      </c>
      <c r="J36" s="4" t="s">
        <v>115</v>
      </c>
      <c r="K36" s="4"/>
      <c r="L36" s="4"/>
    </row>
    <row r="37" customFormat="false" ht="15" hidden="false" customHeight="false" outlineLevel="0" collapsed="false">
      <c r="A37" s="4" t="s">
        <v>158</v>
      </c>
      <c r="B37" s="4" t="s">
        <v>151</v>
      </c>
      <c r="C37" s="4" t="s">
        <v>152</v>
      </c>
      <c r="D37" s="4" t="n">
        <v>4</v>
      </c>
      <c r="E37" s="4" t="s">
        <v>159</v>
      </c>
      <c r="F37" s="4" t="s">
        <v>160</v>
      </c>
      <c r="G37" s="4" t="n">
        <v>3</v>
      </c>
      <c r="H37" s="4" t="s">
        <v>45</v>
      </c>
      <c r="I37" s="4" t="s">
        <v>33</v>
      </c>
      <c r="J37" s="4" t="s">
        <v>115</v>
      </c>
      <c r="K37" s="4"/>
      <c r="L37" s="4"/>
    </row>
    <row r="38" customFormat="false" ht="15" hidden="false" customHeight="false" outlineLevel="0" collapsed="false">
      <c r="A38" s="4" t="s">
        <v>161</v>
      </c>
      <c r="B38" s="4" t="s">
        <v>162</v>
      </c>
      <c r="C38" s="4" t="s">
        <v>163</v>
      </c>
      <c r="D38" s="4" t="n">
        <v>5</v>
      </c>
      <c r="E38" s="4" t="s">
        <v>164</v>
      </c>
      <c r="F38" s="4" t="s">
        <v>165</v>
      </c>
      <c r="G38" s="4" t="n">
        <v>5</v>
      </c>
      <c r="H38" s="4" t="s">
        <v>32</v>
      </c>
      <c r="I38" s="4" t="s">
        <v>33</v>
      </c>
      <c r="J38" s="4" t="s">
        <v>166</v>
      </c>
      <c r="K38" s="4"/>
      <c r="L38" s="4"/>
    </row>
    <row r="39" customFormat="false" ht="15" hidden="false" customHeight="false" outlineLevel="0" collapsed="false">
      <c r="A39" s="4" t="s">
        <v>167</v>
      </c>
      <c r="B39" s="4" t="s">
        <v>162</v>
      </c>
      <c r="C39" s="4" t="s">
        <v>163</v>
      </c>
      <c r="D39" s="4" t="n">
        <v>5</v>
      </c>
      <c r="E39" s="4" t="s">
        <v>168</v>
      </c>
      <c r="F39" s="4" t="s">
        <v>169</v>
      </c>
      <c r="G39" s="4" t="n">
        <v>3</v>
      </c>
      <c r="H39" s="4" t="s">
        <v>45</v>
      </c>
      <c r="I39" s="4" t="s">
        <v>33</v>
      </c>
      <c r="J39" s="4" t="s">
        <v>166</v>
      </c>
      <c r="K39" s="4"/>
      <c r="L39" s="4"/>
    </row>
    <row r="40" customFormat="false" ht="15" hidden="false" customHeight="false" outlineLevel="0" collapsed="false">
      <c r="A40" s="4" t="s">
        <v>170</v>
      </c>
      <c r="B40" s="4" t="s">
        <v>162</v>
      </c>
      <c r="C40" s="4" t="s">
        <v>163</v>
      </c>
      <c r="D40" s="4" t="n">
        <v>5</v>
      </c>
      <c r="E40" s="4" t="s">
        <v>171</v>
      </c>
      <c r="F40" s="4" t="s">
        <v>172</v>
      </c>
      <c r="G40" s="4" t="n">
        <v>3</v>
      </c>
      <c r="H40" s="4" t="s">
        <v>41</v>
      </c>
      <c r="I40" s="4" t="s">
        <v>33</v>
      </c>
      <c r="J40" s="4" t="s">
        <v>166</v>
      </c>
      <c r="K40" s="4"/>
      <c r="L40" s="4"/>
    </row>
    <row r="41" customFormat="false" ht="15" hidden="false" customHeight="false" outlineLevel="0" collapsed="false">
      <c r="A41" s="4" t="s">
        <v>173</v>
      </c>
      <c r="B41" s="4" t="s">
        <v>174</v>
      </c>
      <c r="C41" s="4" t="s">
        <v>175</v>
      </c>
      <c r="D41" s="4" t="n">
        <v>5</v>
      </c>
      <c r="E41" s="4" t="s">
        <v>176</v>
      </c>
      <c r="F41" s="4" t="s">
        <v>177</v>
      </c>
      <c r="G41" s="4" t="n">
        <v>5</v>
      </c>
      <c r="H41" s="4" t="s">
        <v>41</v>
      </c>
      <c r="I41" s="4" t="s">
        <v>33</v>
      </c>
      <c r="J41" s="4" t="s">
        <v>92</v>
      </c>
      <c r="K41" s="4"/>
      <c r="L41" s="4"/>
    </row>
    <row r="42" customFormat="false" ht="15" hidden="false" customHeight="false" outlineLevel="0" collapsed="false">
      <c r="A42" s="4" t="s">
        <v>178</v>
      </c>
      <c r="B42" s="4" t="s">
        <v>174</v>
      </c>
      <c r="C42" s="4" t="s">
        <v>175</v>
      </c>
      <c r="D42" s="4" t="n">
        <v>5</v>
      </c>
      <c r="E42" s="4" t="s">
        <v>179</v>
      </c>
      <c r="F42" s="4" t="s">
        <v>180</v>
      </c>
      <c r="G42" s="4" t="n">
        <v>3</v>
      </c>
      <c r="H42" s="4" t="s">
        <v>41</v>
      </c>
      <c r="I42" s="4" t="s">
        <v>33</v>
      </c>
      <c r="J42" s="4" t="s">
        <v>92</v>
      </c>
      <c r="K42" s="4"/>
      <c r="L42" s="4"/>
    </row>
    <row r="43" customFormat="false" ht="15" hidden="false" customHeight="false" outlineLevel="0" collapsed="false">
      <c r="A43" s="4" t="s">
        <v>181</v>
      </c>
      <c r="B43" s="4" t="s">
        <v>174</v>
      </c>
      <c r="C43" s="4" t="s">
        <v>175</v>
      </c>
      <c r="D43" s="4" t="n">
        <v>5</v>
      </c>
      <c r="E43" s="4" t="s">
        <v>182</v>
      </c>
      <c r="F43" s="4" t="s">
        <v>183</v>
      </c>
      <c r="G43" s="4" t="n">
        <v>2</v>
      </c>
      <c r="H43" s="4" t="s">
        <v>41</v>
      </c>
      <c r="I43" s="4" t="s">
        <v>33</v>
      </c>
      <c r="J43" s="4" t="s">
        <v>92</v>
      </c>
      <c r="K43" s="4"/>
      <c r="L43" s="4"/>
    </row>
    <row r="44" customFormat="false" ht="15" hidden="false" customHeight="false" outlineLevel="0" collapsed="false">
      <c r="A44" s="4" t="s">
        <v>184</v>
      </c>
      <c r="B44" s="4" t="s">
        <v>185</v>
      </c>
      <c r="C44" s="4" t="s">
        <v>186</v>
      </c>
      <c r="D44" s="4" t="n">
        <v>6</v>
      </c>
      <c r="E44" s="4" t="s">
        <v>187</v>
      </c>
      <c r="F44" s="4" t="s">
        <v>188</v>
      </c>
      <c r="G44" s="4" t="n">
        <v>8</v>
      </c>
      <c r="H44" s="4" t="s">
        <v>45</v>
      </c>
      <c r="I44" s="4" t="s">
        <v>33</v>
      </c>
      <c r="J44" s="4" t="s">
        <v>189</v>
      </c>
      <c r="K44" s="4"/>
      <c r="L44" s="4"/>
    </row>
    <row r="45" customFormat="false" ht="15" hidden="false" customHeight="false" outlineLevel="0" collapsed="false">
      <c r="A45" s="4" t="s">
        <v>190</v>
      </c>
      <c r="B45" s="4" t="s">
        <v>185</v>
      </c>
      <c r="C45" s="4" t="s">
        <v>186</v>
      </c>
      <c r="D45" s="4" t="n">
        <v>6</v>
      </c>
      <c r="E45" s="4" t="s">
        <v>191</v>
      </c>
      <c r="F45" s="4" t="s">
        <v>192</v>
      </c>
      <c r="G45" s="4" t="n">
        <v>5</v>
      </c>
      <c r="H45" s="4" t="s">
        <v>45</v>
      </c>
      <c r="I45" s="4" t="s">
        <v>33</v>
      </c>
      <c r="J45" s="4" t="s">
        <v>189</v>
      </c>
      <c r="K45" s="4"/>
      <c r="L45" s="4"/>
    </row>
    <row r="46" customFormat="false" ht="15" hidden="false" customHeight="false" outlineLevel="0" collapsed="false">
      <c r="A46" s="4" t="s">
        <v>193</v>
      </c>
      <c r="B46" s="4" t="s">
        <v>194</v>
      </c>
      <c r="C46" s="4" t="s">
        <v>195</v>
      </c>
      <c r="D46" s="4" t="n">
        <v>6</v>
      </c>
      <c r="E46" s="4" t="s">
        <v>196</v>
      </c>
      <c r="F46" s="4" t="s">
        <v>197</v>
      </c>
      <c r="G46" s="4" t="n">
        <v>3</v>
      </c>
      <c r="H46" s="4" t="s">
        <v>149</v>
      </c>
      <c r="I46" s="4" t="s">
        <v>33</v>
      </c>
      <c r="J46" s="4" t="s">
        <v>92</v>
      </c>
      <c r="K46" s="4"/>
      <c r="L46" s="4"/>
    </row>
    <row r="47" customFormat="false" ht="15" hidden="false" customHeight="false" outlineLevel="0" collapsed="false">
      <c r="A47" s="4" t="s">
        <v>198</v>
      </c>
      <c r="B47" s="4" t="s">
        <v>194</v>
      </c>
      <c r="C47" s="4" t="s">
        <v>195</v>
      </c>
      <c r="D47" s="4" t="n">
        <v>6</v>
      </c>
      <c r="E47" s="4" t="s">
        <v>199</v>
      </c>
      <c r="F47" s="4" t="s">
        <v>200</v>
      </c>
      <c r="G47" s="4" t="n">
        <v>3</v>
      </c>
      <c r="H47" s="4" t="s">
        <v>45</v>
      </c>
      <c r="I47" s="4" t="s">
        <v>33</v>
      </c>
      <c r="J47" s="4" t="s">
        <v>92</v>
      </c>
      <c r="K47" s="4"/>
      <c r="L47" s="4"/>
    </row>
    <row r="48" customFormat="false" ht="15" hidden="false" customHeight="false" outlineLevel="0" collapsed="false">
      <c r="A48" s="4" t="s">
        <v>201</v>
      </c>
      <c r="B48" s="4" t="s">
        <v>202</v>
      </c>
      <c r="C48" s="4" t="s">
        <v>203</v>
      </c>
      <c r="D48" s="4" t="n">
        <v>7</v>
      </c>
      <c r="E48" s="4" t="s">
        <v>204</v>
      </c>
      <c r="F48" s="4" t="s">
        <v>205</v>
      </c>
      <c r="G48" s="4" t="n">
        <v>8</v>
      </c>
      <c r="H48" s="4" t="s">
        <v>41</v>
      </c>
      <c r="I48" s="4" t="s">
        <v>33</v>
      </c>
      <c r="J48" s="4" t="s">
        <v>206</v>
      </c>
      <c r="K48" s="4"/>
      <c r="L48" s="4"/>
    </row>
    <row r="49" customFormat="false" ht="15" hidden="false" customHeight="false" outlineLevel="0" collapsed="false">
      <c r="A49" s="4" t="s">
        <v>207</v>
      </c>
      <c r="B49" s="4" t="s">
        <v>202</v>
      </c>
      <c r="C49" s="4" t="s">
        <v>203</v>
      </c>
      <c r="D49" s="4" t="n">
        <v>7</v>
      </c>
      <c r="E49" s="4" t="s">
        <v>208</v>
      </c>
      <c r="F49" s="4" t="s">
        <v>209</v>
      </c>
      <c r="G49" s="4" t="n">
        <v>5</v>
      </c>
      <c r="H49" s="4" t="s">
        <v>41</v>
      </c>
      <c r="I49" s="4" t="s">
        <v>33</v>
      </c>
      <c r="J49" s="4" t="s">
        <v>206</v>
      </c>
      <c r="K49" s="4"/>
      <c r="L49" s="4"/>
    </row>
    <row r="50" customFormat="false" ht="15" hidden="false" customHeight="false" outlineLevel="0" collapsed="false">
      <c r="A50" s="4" t="s">
        <v>210</v>
      </c>
      <c r="B50" s="4" t="s">
        <v>202</v>
      </c>
      <c r="C50" s="4" t="s">
        <v>203</v>
      </c>
      <c r="D50" s="4" t="n">
        <v>7</v>
      </c>
      <c r="E50" s="4" t="s">
        <v>211</v>
      </c>
      <c r="F50" s="4" t="s">
        <v>212</v>
      </c>
      <c r="G50" s="4" t="n">
        <v>5</v>
      </c>
      <c r="H50" s="4" t="s">
        <v>41</v>
      </c>
      <c r="I50" s="4" t="s">
        <v>33</v>
      </c>
      <c r="J50" s="4" t="s">
        <v>206</v>
      </c>
      <c r="K50" s="4"/>
      <c r="L50" s="4"/>
    </row>
    <row r="51" customFormat="false" ht="15" hidden="false" customHeight="false" outlineLevel="0" collapsed="false">
      <c r="A51" s="4" t="s">
        <v>213</v>
      </c>
      <c r="B51" s="4" t="s">
        <v>202</v>
      </c>
      <c r="C51" s="4" t="s">
        <v>203</v>
      </c>
      <c r="D51" s="4" t="n">
        <v>7</v>
      </c>
      <c r="E51" s="4" t="s">
        <v>214</v>
      </c>
      <c r="F51" s="4" t="s">
        <v>215</v>
      </c>
      <c r="G51" s="4" t="n">
        <v>3</v>
      </c>
      <c r="H51" s="4" t="s">
        <v>41</v>
      </c>
      <c r="I51" s="4" t="s">
        <v>33</v>
      </c>
      <c r="J51" s="4" t="s">
        <v>206</v>
      </c>
      <c r="K51" s="4"/>
      <c r="L51" s="4"/>
    </row>
    <row r="52" customFormat="false" ht="15" hidden="false" customHeight="false" outlineLevel="0" collapsed="false">
      <c r="A52" s="4" t="s">
        <v>216</v>
      </c>
      <c r="B52" s="4" t="s">
        <v>202</v>
      </c>
      <c r="C52" s="4" t="s">
        <v>203</v>
      </c>
      <c r="D52" s="4" t="n">
        <v>7</v>
      </c>
      <c r="E52" s="4" t="s">
        <v>217</v>
      </c>
      <c r="F52" s="4" t="s">
        <v>218</v>
      </c>
      <c r="G52" s="4" t="n">
        <v>3</v>
      </c>
      <c r="H52" s="4" t="s">
        <v>45</v>
      </c>
      <c r="I52" s="4" t="s">
        <v>33</v>
      </c>
      <c r="J52" s="4" t="s">
        <v>206</v>
      </c>
      <c r="K52" s="4"/>
      <c r="L52" s="4"/>
    </row>
    <row r="53" customFormat="false" ht="15" hidden="false" customHeight="false" outlineLevel="0" collapsed="false">
      <c r="A53" s="4" t="s">
        <v>219</v>
      </c>
      <c r="B53" s="4" t="s">
        <v>202</v>
      </c>
      <c r="C53" s="4" t="s">
        <v>203</v>
      </c>
      <c r="D53" s="4" t="n">
        <v>7</v>
      </c>
      <c r="E53" s="4" t="s">
        <v>220</v>
      </c>
      <c r="F53" s="4" t="s">
        <v>221</v>
      </c>
      <c r="G53" s="4" t="n">
        <v>2</v>
      </c>
      <c r="H53" s="4" t="s">
        <v>45</v>
      </c>
      <c r="I53" s="4" t="s">
        <v>33</v>
      </c>
      <c r="J53" s="4" t="s">
        <v>206</v>
      </c>
      <c r="K53" s="4"/>
      <c r="L53" s="4"/>
    </row>
    <row r="54" customFormat="false" ht="15" hidden="false" customHeight="false" outlineLevel="0" collapsed="false">
      <c r="A54" s="4" t="s">
        <v>222</v>
      </c>
      <c r="B54" s="4" t="s">
        <v>202</v>
      </c>
      <c r="C54" s="4" t="s">
        <v>203</v>
      </c>
      <c r="D54" s="4" t="n">
        <v>7</v>
      </c>
      <c r="E54" s="4" t="s">
        <v>223</v>
      </c>
      <c r="F54" s="4" t="s">
        <v>224</v>
      </c>
      <c r="G54" s="4" t="n">
        <v>3</v>
      </c>
      <c r="H54" s="4" t="s">
        <v>41</v>
      </c>
      <c r="I54" s="4" t="s">
        <v>33</v>
      </c>
      <c r="J54" s="4" t="s">
        <v>206</v>
      </c>
      <c r="K54" s="4"/>
      <c r="L54" s="4"/>
    </row>
    <row r="55" customFormat="false" ht="15" hidden="false" customHeight="false" outlineLevel="0" collapsed="false">
      <c r="A55" s="4" t="s">
        <v>225</v>
      </c>
      <c r="B55" s="4" t="s">
        <v>202</v>
      </c>
      <c r="C55" s="4" t="s">
        <v>203</v>
      </c>
      <c r="D55" s="4" t="n">
        <v>7</v>
      </c>
      <c r="E55" s="4" t="s">
        <v>226</v>
      </c>
      <c r="F55" s="4" t="s">
        <v>227</v>
      </c>
      <c r="G55" s="4" t="n">
        <v>2</v>
      </c>
      <c r="H55" s="4" t="s">
        <v>45</v>
      </c>
      <c r="I55" s="4" t="s">
        <v>33</v>
      </c>
      <c r="J55" s="4" t="s">
        <v>206</v>
      </c>
      <c r="K55" s="4"/>
      <c r="L55" s="4"/>
    </row>
    <row r="56" customFormat="false" ht="15" hidden="false" customHeight="false" outlineLevel="0" collapsed="false">
      <c r="A56" s="4" t="s">
        <v>228</v>
      </c>
      <c r="B56" s="4" t="s">
        <v>202</v>
      </c>
      <c r="C56" s="4" t="s">
        <v>203</v>
      </c>
      <c r="D56" s="4" t="n">
        <v>7</v>
      </c>
      <c r="E56" s="4" t="s">
        <v>229</v>
      </c>
      <c r="F56" s="4" t="s">
        <v>230</v>
      </c>
      <c r="G56" s="4" t="n">
        <v>3</v>
      </c>
      <c r="H56" s="4" t="s">
        <v>45</v>
      </c>
      <c r="I56" s="4" t="s">
        <v>33</v>
      </c>
      <c r="J56" s="4" t="s">
        <v>206</v>
      </c>
      <c r="K56" s="4"/>
      <c r="L56" s="4"/>
    </row>
    <row r="57" customFormat="false" ht="15" hidden="false" customHeight="false" outlineLevel="0" collapsed="false">
      <c r="A57" s="4" t="s">
        <v>231</v>
      </c>
      <c r="B57" s="4" t="s">
        <v>232</v>
      </c>
      <c r="C57" s="4" t="s">
        <v>233</v>
      </c>
      <c r="D57" s="4" t="n">
        <v>8</v>
      </c>
      <c r="E57" s="4" t="s">
        <v>234</v>
      </c>
      <c r="F57" s="4" t="s">
        <v>235</v>
      </c>
      <c r="G57" s="4" t="n">
        <v>8</v>
      </c>
      <c r="H57" s="4" t="s">
        <v>41</v>
      </c>
      <c r="I57" s="4" t="s">
        <v>33</v>
      </c>
      <c r="J57" s="4" t="s">
        <v>236</v>
      </c>
      <c r="K57" s="4"/>
      <c r="L57" s="4"/>
    </row>
    <row r="58" customFormat="false" ht="15" hidden="false" customHeight="false" outlineLevel="0" collapsed="false">
      <c r="A58" s="4" t="s">
        <v>237</v>
      </c>
      <c r="B58" s="4" t="s">
        <v>232</v>
      </c>
      <c r="C58" s="4" t="s">
        <v>233</v>
      </c>
      <c r="D58" s="4" t="n">
        <v>8</v>
      </c>
      <c r="E58" s="4" t="s">
        <v>238</v>
      </c>
      <c r="F58" s="4" t="s">
        <v>239</v>
      </c>
      <c r="G58" s="4" t="n">
        <v>3</v>
      </c>
      <c r="H58" s="4" t="s">
        <v>41</v>
      </c>
      <c r="I58" s="4" t="s">
        <v>33</v>
      </c>
      <c r="J58" s="4" t="s">
        <v>236</v>
      </c>
      <c r="K58" s="4"/>
      <c r="L58" s="4"/>
    </row>
    <row r="59" customFormat="false" ht="15" hidden="false" customHeight="false" outlineLevel="0" collapsed="false">
      <c r="A59" s="4" t="s">
        <v>240</v>
      </c>
      <c r="B59" s="4" t="s">
        <v>232</v>
      </c>
      <c r="C59" s="4" t="s">
        <v>233</v>
      </c>
      <c r="D59" s="4" t="n">
        <v>8</v>
      </c>
      <c r="E59" s="4" t="s">
        <v>241</v>
      </c>
      <c r="F59" s="4" t="s">
        <v>242</v>
      </c>
      <c r="G59" s="4" t="n">
        <v>5</v>
      </c>
      <c r="H59" s="4" t="s">
        <v>41</v>
      </c>
      <c r="I59" s="4" t="s">
        <v>33</v>
      </c>
      <c r="J59" s="4" t="s">
        <v>236</v>
      </c>
      <c r="K59" s="4"/>
      <c r="L59" s="4"/>
    </row>
    <row r="60" customFormat="false" ht="15" hidden="false" customHeight="false" outlineLevel="0" collapsed="false">
      <c r="A60" s="4" t="s">
        <v>243</v>
      </c>
      <c r="B60" s="4" t="s">
        <v>232</v>
      </c>
      <c r="C60" s="4" t="s">
        <v>233</v>
      </c>
      <c r="D60" s="4" t="n">
        <v>8</v>
      </c>
      <c r="E60" s="4" t="s">
        <v>244</v>
      </c>
      <c r="F60" s="4" t="s">
        <v>245</v>
      </c>
      <c r="G60" s="4" t="n">
        <v>2</v>
      </c>
      <c r="H60" s="4" t="s">
        <v>45</v>
      </c>
      <c r="I60" s="4" t="s">
        <v>33</v>
      </c>
      <c r="J60" s="4" t="s">
        <v>236</v>
      </c>
      <c r="K60" s="4"/>
      <c r="L60" s="4"/>
    </row>
    <row r="61" customFormat="false" ht="15" hidden="false" customHeight="false" outlineLevel="0" collapsed="false">
      <c r="A61" s="4" t="s">
        <v>246</v>
      </c>
      <c r="B61" s="4" t="s">
        <v>247</v>
      </c>
      <c r="C61" s="4" t="s">
        <v>248</v>
      </c>
      <c r="D61" s="4" t="n">
        <v>8</v>
      </c>
      <c r="E61" s="4" t="s">
        <v>249</v>
      </c>
      <c r="F61" s="4" t="s">
        <v>250</v>
      </c>
      <c r="G61" s="4" t="n">
        <v>5</v>
      </c>
      <c r="H61" s="4" t="s">
        <v>45</v>
      </c>
      <c r="I61" s="4" t="s">
        <v>33</v>
      </c>
      <c r="J61" s="4" t="s">
        <v>251</v>
      </c>
      <c r="K61" s="4"/>
      <c r="L61" s="4"/>
    </row>
    <row r="62" customFormat="false" ht="15" hidden="false" customHeight="false" outlineLevel="0" collapsed="false">
      <c r="A62" s="4" t="s">
        <v>252</v>
      </c>
      <c r="B62" s="4" t="s">
        <v>247</v>
      </c>
      <c r="C62" s="4" t="s">
        <v>248</v>
      </c>
      <c r="D62" s="4" t="n">
        <v>8</v>
      </c>
      <c r="E62" s="4" t="s">
        <v>253</v>
      </c>
      <c r="F62" s="4" t="s">
        <v>254</v>
      </c>
      <c r="G62" s="4" t="n">
        <v>3</v>
      </c>
      <c r="H62" s="4" t="s">
        <v>45</v>
      </c>
      <c r="I62" s="4" t="s">
        <v>33</v>
      </c>
      <c r="J62" s="4" t="s">
        <v>251</v>
      </c>
      <c r="K62" s="4"/>
      <c r="L62" s="4"/>
    </row>
    <row r="63" customFormat="false" ht="15" hidden="false" customHeight="false" outlineLevel="0" collapsed="false">
      <c r="A63" s="4" t="s">
        <v>255</v>
      </c>
      <c r="B63" s="4" t="s">
        <v>247</v>
      </c>
      <c r="C63" s="4" t="s">
        <v>248</v>
      </c>
      <c r="D63" s="4" t="n">
        <v>8</v>
      </c>
      <c r="E63" s="4" t="s">
        <v>256</v>
      </c>
      <c r="F63" s="4" t="s">
        <v>257</v>
      </c>
      <c r="G63" s="4" t="n">
        <v>3</v>
      </c>
      <c r="H63" s="4" t="s">
        <v>45</v>
      </c>
      <c r="I63" s="4" t="s">
        <v>33</v>
      </c>
      <c r="J63" s="4" t="s">
        <v>251</v>
      </c>
      <c r="K63" s="4"/>
      <c r="L63" s="4"/>
    </row>
    <row r="64" customFormat="false" ht="15" hidden="false" customHeight="false" outlineLevel="0" collapsed="false">
      <c r="A64" s="4" t="s">
        <v>258</v>
      </c>
      <c r="B64" s="4" t="s">
        <v>247</v>
      </c>
      <c r="C64" s="4" t="s">
        <v>248</v>
      </c>
      <c r="D64" s="4" t="n">
        <v>8</v>
      </c>
      <c r="E64" s="4" t="s">
        <v>259</v>
      </c>
      <c r="F64" s="4" t="s">
        <v>260</v>
      </c>
      <c r="G64" s="4" t="n">
        <v>3</v>
      </c>
      <c r="H64" s="4" t="s">
        <v>45</v>
      </c>
      <c r="I64" s="4" t="s">
        <v>33</v>
      </c>
      <c r="J64" s="4" t="s">
        <v>251</v>
      </c>
      <c r="K64" s="4"/>
      <c r="L64" s="4"/>
    </row>
    <row r="65" customFormat="false" ht="15" hidden="false" customHeight="false" outlineLevel="0" collapsed="false">
      <c r="A65" s="4" t="s">
        <v>261</v>
      </c>
      <c r="B65" s="4" t="s">
        <v>247</v>
      </c>
      <c r="C65" s="4" t="s">
        <v>248</v>
      </c>
      <c r="D65" s="4" t="n">
        <v>8</v>
      </c>
      <c r="E65" s="4" t="s">
        <v>262</v>
      </c>
      <c r="F65" s="4" t="s">
        <v>263</v>
      </c>
      <c r="G65" s="4" t="n">
        <v>2</v>
      </c>
      <c r="H65" s="4" t="s">
        <v>149</v>
      </c>
      <c r="I65" s="4" t="s">
        <v>33</v>
      </c>
      <c r="J65" s="4" t="s">
        <v>251</v>
      </c>
      <c r="K65" s="4"/>
      <c r="L65" s="4"/>
    </row>
  </sheetData>
  <conditionalFormatting sqref="I2:I1000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conditionalFormatting sqref="H2:H1000">
    <cfRule type="cellIs" priority="5" operator="equal" aboveAverage="0" equalAverage="0" bottom="0" percent="0" rank="0" text="" dxfId="6">
      <formula>"Highest"</formula>
    </cfRule>
  </conditionalFormatting>
  <dataValidations count="3">
    <dataValidation allowBlank="true" errorStyle="stop" operator="between" showDropDown="false" showErrorMessage="false" showInputMessage="false" sqref="H2:H1000" type="list">
      <formula1>"Highest,High,Medium,Low"</formula1>
      <formula2>0</formula2>
    </dataValidation>
    <dataValidation allowBlank="true" errorStyle="stop" operator="between" showDropDown="false" showErrorMessage="false" showInputMessage="false" sqref="I2:I1000" type="list">
      <formula1>"Not Started,In Progress,In Review,Blocked,Done,Deferred"</formula1>
      <formula2>0</formula2>
    </dataValidation>
    <dataValidation allowBlank="true" errorStyle="stop" operator="between" showDropDown="false" showErrorMessage="false" showInputMessage="false" sqref="J2:J1000" type="list">
      <formula1>"Infrastructure,Backend,Frontend,Editor Integration,Distribution,Documentation,Git,Export,Visualization,Other"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3"/>
  </cols>
  <sheetData>
    <row r="1" customFormat="false" ht="30" hidden="false" customHeight="true" outlineLevel="0" collapsed="false">
      <c r="A1" s="3" t="s">
        <v>16</v>
      </c>
      <c r="B1" s="3" t="s">
        <v>17</v>
      </c>
      <c r="C1" s="3" t="s">
        <v>18</v>
      </c>
      <c r="D1" s="3" t="s">
        <v>264</v>
      </c>
      <c r="E1" s="3" t="s">
        <v>265</v>
      </c>
      <c r="F1" s="3" t="s">
        <v>266</v>
      </c>
      <c r="G1" s="3" t="s">
        <v>267</v>
      </c>
    </row>
    <row r="2" customFormat="false" ht="15" hidden="false" customHeight="false" outlineLevel="0" collapsed="false">
      <c r="A2" s="5" t="s">
        <v>28</v>
      </c>
      <c r="B2" s="5" t="s">
        <v>29</v>
      </c>
      <c r="C2" s="5" t="n">
        <v>1</v>
      </c>
      <c r="D2" s="5" t="n">
        <f aca="false">COUNTIF(FeaturesTable[Epic ID],A2)</f>
        <v>5</v>
      </c>
      <c r="E2" s="5" t="n">
        <f aca="false">SUMIF(FeaturesTable[Epic ID],A2,FeaturesTable[Story Points])</f>
        <v>9</v>
      </c>
      <c r="F2" s="5" t="n">
        <f aca="false">COUNTIFS(FeaturesTable[Epic ID],A2,FeaturesTable[Status],"Done")</f>
        <v>0</v>
      </c>
      <c r="G2" s="6" t="n">
        <f aca="false">IFERROR(F2/D2,0)</f>
        <v>0</v>
      </c>
    </row>
    <row r="3" customFormat="false" ht="15" hidden="false" customHeight="false" outlineLevel="0" collapsed="false">
      <c r="A3" s="5" t="s">
        <v>50</v>
      </c>
      <c r="B3" s="5" t="s">
        <v>51</v>
      </c>
      <c r="C3" s="5" t="n">
        <v>1</v>
      </c>
      <c r="D3" s="5" t="n">
        <f aca="false">COUNTIF(FeaturesTable[Epic ID],A3)</f>
        <v>7</v>
      </c>
      <c r="E3" s="5" t="n">
        <f aca="false">SUMIF(FeaturesTable[Epic ID],A3,FeaturesTable[Story Points])</f>
        <v>26</v>
      </c>
      <c r="F3" s="5" t="n">
        <f aca="false">COUNTIFS(FeaturesTable[Epic ID],A3,FeaturesTable[Status],"Done")</f>
        <v>0</v>
      </c>
      <c r="G3" s="6" t="n">
        <f aca="false">IFERROR(F3/D3,0)</f>
        <v>0</v>
      </c>
    </row>
    <row r="4" customFormat="false" ht="15" hidden="false" customHeight="false" outlineLevel="0" collapsed="false">
      <c r="A4" s="5" t="s">
        <v>74</v>
      </c>
      <c r="B4" s="5" t="s">
        <v>75</v>
      </c>
      <c r="C4" s="5" t="n">
        <v>2</v>
      </c>
      <c r="D4" s="5" t="n">
        <f aca="false">COUNTIF(FeaturesTable[Epic ID],A4)</f>
        <v>4</v>
      </c>
      <c r="E4" s="5" t="n">
        <f aca="false">SUMIF(FeaturesTable[Epic ID],A4,FeaturesTable[Story Points])</f>
        <v>13</v>
      </c>
      <c r="F4" s="5" t="n">
        <f aca="false">COUNTIFS(FeaturesTable[Epic ID],A4,FeaturesTable[Status],"Done")</f>
        <v>0</v>
      </c>
      <c r="G4" s="6" t="n">
        <f aca="false">IFERROR(F4/D4,0)</f>
        <v>0</v>
      </c>
    </row>
    <row r="5" customFormat="false" ht="15" hidden="false" customHeight="false" outlineLevel="0" collapsed="false">
      <c r="A5" s="5" t="s">
        <v>88</v>
      </c>
      <c r="B5" s="5" t="s">
        <v>89</v>
      </c>
      <c r="C5" s="5" t="n">
        <v>2</v>
      </c>
      <c r="D5" s="5" t="n">
        <f aca="false">COUNTIF(FeaturesTable[Epic ID],A5)</f>
        <v>4</v>
      </c>
      <c r="E5" s="5" t="n">
        <f aca="false">SUMIF(FeaturesTable[Epic ID],A5,FeaturesTable[Story Points])</f>
        <v>15</v>
      </c>
      <c r="F5" s="5" t="n">
        <f aca="false">COUNTIFS(FeaturesTable[Epic ID],A5,FeaturesTable[Status],"Done")</f>
        <v>0</v>
      </c>
      <c r="G5" s="6" t="n">
        <f aca="false">IFERROR(F5/D5,0)</f>
        <v>0</v>
      </c>
    </row>
    <row r="6" customFormat="false" ht="15" hidden="false" customHeight="false" outlineLevel="0" collapsed="false">
      <c r="A6" s="5" t="s">
        <v>103</v>
      </c>
      <c r="B6" s="5" t="s">
        <v>104</v>
      </c>
      <c r="C6" s="5" t="n">
        <v>2</v>
      </c>
      <c r="D6" s="5" t="n">
        <f aca="false">COUNTIF(FeaturesTable[Epic ID],A6)</f>
        <v>2</v>
      </c>
      <c r="E6" s="5" t="n">
        <f aca="false">SUMIF(FeaturesTable[Epic ID],A6,FeaturesTable[Story Points])</f>
        <v>5</v>
      </c>
      <c r="F6" s="5" t="n">
        <f aca="false">COUNTIFS(FeaturesTable[Epic ID],A6,FeaturesTable[Status],"Done")</f>
        <v>0</v>
      </c>
      <c r="G6" s="6" t="n">
        <f aca="false">IFERROR(F6/D6,0)</f>
        <v>0</v>
      </c>
    </row>
    <row r="7" customFormat="false" ht="15" hidden="false" customHeight="false" outlineLevel="0" collapsed="false">
      <c r="A7" s="5" t="s">
        <v>111</v>
      </c>
      <c r="B7" s="5" t="s">
        <v>112</v>
      </c>
      <c r="C7" s="5" t="n">
        <v>3</v>
      </c>
      <c r="D7" s="5" t="n">
        <f aca="false">COUNTIF(FeaturesTable[Epic ID],A7)</f>
        <v>4</v>
      </c>
      <c r="E7" s="5" t="n">
        <f aca="false">SUMIF(FeaturesTable[Epic ID],A7,FeaturesTable[Story Points])</f>
        <v>15</v>
      </c>
      <c r="F7" s="5" t="n">
        <f aca="false">COUNTIFS(FeaturesTable[Epic ID],A7,FeaturesTable[Status],"Done")</f>
        <v>0</v>
      </c>
      <c r="G7" s="6" t="n">
        <f aca="false">IFERROR(F7/D7,0)</f>
        <v>0</v>
      </c>
    </row>
    <row r="8" customFormat="false" ht="15" hidden="false" customHeight="false" outlineLevel="0" collapsed="false">
      <c r="A8" s="5" t="s">
        <v>126</v>
      </c>
      <c r="B8" s="5" t="s">
        <v>127</v>
      </c>
      <c r="C8" s="5" t="s">
        <v>128</v>
      </c>
      <c r="D8" s="5" t="n">
        <f aca="false">COUNTIF(FeaturesTable[Epic ID],A8)</f>
        <v>7</v>
      </c>
      <c r="E8" s="5" t="n">
        <f aca="false">SUMIF(FeaturesTable[Epic ID],A8,FeaturesTable[Story Points])</f>
        <v>26</v>
      </c>
      <c r="F8" s="5" t="n">
        <f aca="false">COUNTIFS(FeaturesTable[Epic ID],A8,FeaturesTable[Status],"Done")</f>
        <v>0</v>
      </c>
      <c r="G8" s="6" t="n">
        <f aca="false">IFERROR(F8/D8,0)</f>
        <v>0</v>
      </c>
    </row>
    <row r="9" customFormat="false" ht="15" hidden="false" customHeight="false" outlineLevel="0" collapsed="false">
      <c r="A9" s="5" t="s">
        <v>151</v>
      </c>
      <c r="B9" s="5" t="s">
        <v>152</v>
      </c>
      <c r="C9" s="5" t="n">
        <v>4</v>
      </c>
      <c r="D9" s="5" t="n">
        <f aca="false">COUNTIF(FeaturesTable[Epic ID],A9)</f>
        <v>3</v>
      </c>
      <c r="E9" s="5" t="n">
        <f aca="false">SUMIF(FeaturesTable[Epic ID],A9,FeaturesTable[Story Points])</f>
        <v>10</v>
      </c>
      <c r="F9" s="5" t="n">
        <f aca="false">COUNTIFS(FeaturesTable[Epic ID],A9,FeaturesTable[Status],"Done")</f>
        <v>0</v>
      </c>
      <c r="G9" s="6" t="n">
        <f aca="false">IFERROR(F9/D9,0)</f>
        <v>0</v>
      </c>
    </row>
    <row r="10" customFormat="false" ht="15" hidden="false" customHeight="false" outlineLevel="0" collapsed="false">
      <c r="A10" s="5" t="s">
        <v>162</v>
      </c>
      <c r="B10" s="5" t="s">
        <v>163</v>
      </c>
      <c r="C10" s="5" t="n">
        <v>5</v>
      </c>
      <c r="D10" s="5" t="n">
        <f aca="false">COUNTIF(FeaturesTable[Epic ID],A10)</f>
        <v>3</v>
      </c>
      <c r="E10" s="5" t="n">
        <f aca="false">SUMIF(FeaturesTable[Epic ID],A10,FeaturesTable[Story Points])</f>
        <v>11</v>
      </c>
      <c r="F10" s="5" t="n">
        <f aca="false">COUNTIFS(FeaturesTable[Epic ID],A10,FeaturesTable[Status],"Done")</f>
        <v>0</v>
      </c>
      <c r="G10" s="6" t="n">
        <f aca="false">IFERROR(F10/D10,0)</f>
        <v>0</v>
      </c>
    </row>
    <row r="11" customFormat="false" ht="15" hidden="false" customHeight="false" outlineLevel="0" collapsed="false">
      <c r="A11" s="5" t="s">
        <v>174</v>
      </c>
      <c r="B11" s="5" t="s">
        <v>175</v>
      </c>
      <c r="C11" s="5" t="n">
        <v>5</v>
      </c>
      <c r="D11" s="5" t="n">
        <f aca="false">COUNTIF(FeaturesTable[Epic ID],A11)</f>
        <v>3</v>
      </c>
      <c r="E11" s="5" t="n">
        <f aca="false">SUMIF(FeaturesTable[Epic ID],A11,FeaturesTable[Story Points])</f>
        <v>10</v>
      </c>
      <c r="F11" s="5" t="n">
        <f aca="false">COUNTIFS(FeaturesTable[Epic ID],A11,FeaturesTable[Status],"Done")</f>
        <v>0</v>
      </c>
      <c r="G11" s="6" t="n">
        <f aca="false">IFERROR(F11/D11,0)</f>
        <v>0</v>
      </c>
    </row>
    <row r="12" customFormat="false" ht="15" hidden="false" customHeight="false" outlineLevel="0" collapsed="false">
      <c r="A12" s="5" t="s">
        <v>185</v>
      </c>
      <c r="B12" s="5" t="s">
        <v>186</v>
      </c>
      <c r="C12" s="5" t="n">
        <v>6</v>
      </c>
      <c r="D12" s="5" t="n">
        <f aca="false">COUNTIF(FeaturesTable[Epic ID],A12)</f>
        <v>2</v>
      </c>
      <c r="E12" s="5" t="n">
        <f aca="false">SUMIF(FeaturesTable[Epic ID],A12,FeaturesTable[Story Points])</f>
        <v>13</v>
      </c>
      <c r="F12" s="5" t="n">
        <f aca="false">COUNTIFS(FeaturesTable[Epic ID],A12,FeaturesTable[Status],"Done")</f>
        <v>0</v>
      </c>
      <c r="G12" s="6" t="n">
        <f aca="false">IFERROR(F12/D12,0)</f>
        <v>0</v>
      </c>
    </row>
    <row r="13" customFormat="false" ht="15" hidden="false" customHeight="false" outlineLevel="0" collapsed="false">
      <c r="A13" s="5" t="s">
        <v>194</v>
      </c>
      <c r="B13" s="5" t="s">
        <v>195</v>
      </c>
      <c r="C13" s="5" t="n">
        <v>6</v>
      </c>
      <c r="D13" s="5" t="n">
        <f aca="false">COUNTIF(FeaturesTable[Epic ID],A13)</f>
        <v>2</v>
      </c>
      <c r="E13" s="5" t="n">
        <f aca="false">SUMIF(FeaturesTable[Epic ID],A13,FeaturesTable[Story Points])</f>
        <v>6</v>
      </c>
      <c r="F13" s="5" t="n">
        <f aca="false">COUNTIFS(FeaturesTable[Epic ID],A13,FeaturesTable[Status],"Done")</f>
        <v>0</v>
      </c>
      <c r="G13" s="6" t="n">
        <f aca="false">IFERROR(F13/D13,0)</f>
        <v>0</v>
      </c>
    </row>
    <row r="14" customFormat="false" ht="15" hidden="false" customHeight="false" outlineLevel="0" collapsed="false">
      <c r="A14" s="5" t="s">
        <v>202</v>
      </c>
      <c r="B14" s="5" t="s">
        <v>203</v>
      </c>
      <c r="C14" s="5" t="n">
        <v>7</v>
      </c>
      <c r="D14" s="5" t="n">
        <f aca="false">COUNTIF(FeaturesTable[Epic ID],A14)</f>
        <v>9</v>
      </c>
      <c r="E14" s="5" t="n">
        <f aca="false">SUMIF(FeaturesTable[Epic ID],A14,FeaturesTable[Story Points])</f>
        <v>34</v>
      </c>
      <c r="F14" s="5" t="n">
        <f aca="false">COUNTIFS(FeaturesTable[Epic ID],A14,FeaturesTable[Status],"Done")</f>
        <v>0</v>
      </c>
      <c r="G14" s="6" t="n">
        <f aca="false">IFERROR(F14/D14,0)</f>
        <v>0</v>
      </c>
    </row>
    <row r="15" customFormat="false" ht="15" hidden="false" customHeight="false" outlineLevel="0" collapsed="false">
      <c r="A15" s="5" t="s">
        <v>232</v>
      </c>
      <c r="B15" s="5" t="s">
        <v>233</v>
      </c>
      <c r="C15" s="5" t="n">
        <v>8</v>
      </c>
      <c r="D15" s="5" t="n">
        <f aca="false">COUNTIF(FeaturesTable[Epic ID],A15)</f>
        <v>4</v>
      </c>
      <c r="E15" s="5" t="n">
        <f aca="false">SUMIF(FeaturesTable[Epic ID],A15,FeaturesTable[Story Points])</f>
        <v>18</v>
      </c>
      <c r="F15" s="5" t="n">
        <f aca="false">COUNTIFS(FeaturesTable[Epic ID],A15,FeaturesTable[Status],"Done")</f>
        <v>0</v>
      </c>
      <c r="G15" s="6" t="n">
        <f aca="false">IFERROR(F15/D15,0)</f>
        <v>0</v>
      </c>
    </row>
    <row r="16" customFormat="false" ht="15" hidden="false" customHeight="false" outlineLevel="0" collapsed="false">
      <c r="A16" s="5" t="s">
        <v>247</v>
      </c>
      <c r="B16" s="5" t="s">
        <v>248</v>
      </c>
      <c r="C16" s="5" t="n">
        <v>8</v>
      </c>
      <c r="D16" s="5" t="n">
        <f aca="false">COUNTIF(FeaturesTable[Epic ID],A16)</f>
        <v>5</v>
      </c>
      <c r="E16" s="5" t="n">
        <f aca="false">SUMIF(FeaturesTable[Epic ID],A16,FeaturesTable[Story Points])</f>
        <v>16</v>
      </c>
      <c r="F16" s="5" t="n">
        <f aca="false">COUNTIFS(FeaturesTable[Epic ID],A16,FeaturesTable[Status],"Done")</f>
        <v>0</v>
      </c>
      <c r="G16" s="6" t="n">
        <f aca="false">IFERROR(F16/D16,0)</f>
        <v>0</v>
      </c>
    </row>
    <row r="17" customFormat="false" ht="15" hidden="false" customHeight="false" outlineLevel="0" collapsed="false">
      <c r="A17" s="7" t="s">
        <v>268</v>
      </c>
      <c r="B17" s="8"/>
      <c r="C17" s="8"/>
      <c r="D17" s="7" t="n">
        <f aca="false">SUM(D2:D16)</f>
        <v>64</v>
      </c>
      <c r="E17" s="7" t="n">
        <f aca="false">SUM(E2:E16)</f>
        <v>227</v>
      </c>
      <c r="F17" s="7" t="n">
        <f aca="false">SUM(F2:F16)</f>
        <v>0</v>
      </c>
      <c r="G17" s="9" t="n">
        <f aca="false">IFERROR(F17/D17,0)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2026-04-25T07:10:22Z</dcterms:created>
  <dc:creator>openpyxl</dc:creator>
  <dc:description/>
  <dc:language>en-US</dc:language>
  <cp:lastModifiedBy/>
  <dcterms:modified xsi:type="dcterms:W3CDTF">2026-04-25T07:10:22Z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